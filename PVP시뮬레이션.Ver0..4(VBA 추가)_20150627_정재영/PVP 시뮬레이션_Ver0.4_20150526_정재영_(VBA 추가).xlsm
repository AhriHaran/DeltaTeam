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240" windowWidth="28035" windowHeight="12375"/>
  </bookViews>
  <sheets>
    <sheet name="PVP 시뮬레이션" sheetId="1" r:id="rId1"/>
    <sheet name="성장 곡선" sheetId="2" r:id="rId2"/>
    <sheet name="성장 경험치 곡선" sheetId="3" r:id="rId3"/>
    <sheet name="레벨에 따른 획득 재화" sheetId="4" r:id="rId4"/>
    <sheet name="버전관리" sheetId="5" r:id="rId5"/>
  </sheets>
  <definedNames>
    <definedName name="초">'PVP 시뮬레이션'!$B$52:$B$184</definedName>
  </definedNames>
  <calcPr calcId="144525"/>
</workbook>
</file>

<file path=xl/calcChain.xml><?xml version="1.0" encoding="utf-8"?>
<calcChain xmlns="http://schemas.openxmlformats.org/spreadsheetml/2006/main">
  <c r="M7" i="1" l="1"/>
  <c r="H22" i="1"/>
  <c r="M9" i="1"/>
  <c r="M10" i="1"/>
  <c r="H24" i="1"/>
  <c r="G24" i="1"/>
  <c r="I8" i="4" l="1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7" i="4"/>
  <c r="F8" i="4"/>
  <c r="H8" i="4" s="1"/>
  <c r="J8" i="4" s="1"/>
  <c r="F9" i="4"/>
  <c r="H9" i="4" s="1"/>
  <c r="J9" i="4" s="1"/>
  <c r="F13" i="4"/>
  <c r="H13" i="4" s="1"/>
  <c r="J13" i="4" s="1"/>
  <c r="F17" i="4"/>
  <c r="H17" i="4" s="1"/>
  <c r="J17" i="4" s="1"/>
  <c r="F21" i="4"/>
  <c r="H21" i="4" s="1"/>
  <c r="J21" i="4" s="1"/>
  <c r="F25" i="4"/>
  <c r="H25" i="4" s="1"/>
  <c r="J25" i="4" s="1"/>
  <c r="F29" i="4"/>
  <c r="H29" i="4" s="1"/>
  <c r="J29" i="4" s="1"/>
  <c r="F33" i="4"/>
  <c r="H33" i="4" s="1"/>
  <c r="J33" i="4" s="1"/>
  <c r="F37" i="4"/>
  <c r="H37" i="4" s="1"/>
  <c r="J37" i="4" s="1"/>
  <c r="F41" i="4"/>
  <c r="H41" i="4" s="1"/>
  <c r="J41" i="4" s="1"/>
  <c r="F45" i="4"/>
  <c r="H45" i="4" s="1"/>
  <c r="J45" i="4" s="1"/>
  <c r="F49" i="4"/>
  <c r="H49" i="4" s="1"/>
  <c r="J49" i="4" s="1"/>
  <c r="F53" i="4"/>
  <c r="H53" i="4" s="1"/>
  <c r="J53" i="4" s="1"/>
  <c r="F57" i="4"/>
  <c r="H57" i="4" s="1"/>
  <c r="J57" i="4" s="1"/>
  <c r="F61" i="4"/>
  <c r="H61" i="4" s="1"/>
  <c r="J61" i="4" s="1"/>
  <c r="F65" i="4"/>
  <c r="H65" i="4" s="1"/>
  <c r="J65" i="4" s="1"/>
  <c r="F69" i="4"/>
  <c r="H69" i="4" s="1"/>
  <c r="J69" i="4" s="1"/>
  <c r="F73" i="4"/>
  <c r="H73" i="4" s="1"/>
  <c r="J73" i="4" s="1"/>
  <c r="F77" i="4"/>
  <c r="H77" i="4" s="1"/>
  <c r="J77" i="4" s="1"/>
  <c r="F81" i="4"/>
  <c r="H81" i="4" s="1"/>
  <c r="J81" i="4" s="1"/>
  <c r="F85" i="4"/>
  <c r="H85" i="4" s="1"/>
  <c r="J85" i="4" s="1"/>
  <c r="F89" i="4"/>
  <c r="H89" i="4" s="1"/>
  <c r="J89" i="4" s="1"/>
  <c r="F93" i="4"/>
  <c r="H93" i="4" s="1"/>
  <c r="J93" i="4" s="1"/>
  <c r="F7" i="4"/>
  <c r="H7" i="4" s="1"/>
  <c r="C9" i="4"/>
  <c r="C10" i="4"/>
  <c r="F10" i="4" s="1"/>
  <c r="H10" i="4" s="1"/>
  <c r="J10" i="4" s="1"/>
  <c r="C11" i="4"/>
  <c r="F11" i="4" s="1"/>
  <c r="G11" i="4" s="1"/>
  <c r="C12" i="4"/>
  <c r="F12" i="4" s="1"/>
  <c r="C13" i="4"/>
  <c r="C14" i="4"/>
  <c r="F14" i="4" s="1"/>
  <c r="H14" i="4" s="1"/>
  <c r="J14" i="4" s="1"/>
  <c r="C15" i="4"/>
  <c r="F15" i="4" s="1"/>
  <c r="G15" i="4" s="1"/>
  <c r="C16" i="4"/>
  <c r="F16" i="4" s="1"/>
  <c r="C17" i="4"/>
  <c r="C18" i="4"/>
  <c r="F18" i="4" s="1"/>
  <c r="H18" i="4" s="1"/>
  <c r="J18" i="4" s="1"/>
  <c r="C19" i="4"/>
  <c r="F19" i="4" s="1"/>
  <c r="G19" i="4" s="1"/>
  <c r="C20" i="4"/>
  <c r="F20" i="4" s="1"/>
  <c r="C21" i="4"/>
  <c r="C22" i="4"/>
  <c r="F22" i="4" s="1"/>
  <c r="H22" i="4" s="1"/>
  <c r="J22" i="4" s="1"/>
  <c r="C23" i="4"/>
  <c r="F23" i="4" s="1"/>
  <c r="G23" i="4" s="1"/>
  <c r="C24" i="4"/>
  <c r="F24" i="4" s="1"/>
  <c r="C25" i="4"/>
  <c r="C26" i="4"/>
  <c r="F26" i="4" s="1"/>
  <c r="H26" i="4" s="1"/>
  <c r="J26" i="4" s="1"/>
  <c r="C27" i="4"/>
  <c r="F27" i="4" s="1"/>
  <c r="G27" i="4" s="1"/>
  <c r="C28" i="4"/>
  <c r="F28" i="4" s="1"/>
  <c r="C29" i="4"/>
  <c r="C30" i="4"/>
  <c r="F30" i="4" s="1"/>
  <c r="H30" i="4" s="1"/>
  <c r="J30" i="4" s="1"/>
  <c r="C31" i="4"/>
  <c r="F31" i="4" s="1"/>
  <c r="G31" i="4" s="1"/>
  <c r="C32" i="4"/>
  <c r="F32" i="4" s="1"/>
  <c r="C33" i="4"/>
  <c r="C34" i="4"/>
  <c r="F34" i="4" s="1"/>
  <c r="H34" i="4" s="1"/>
  <c r="J34" i="4" s="1"/>
  <c r="C35" i="4"/>
  <c r="F35" i="4" s="1"/>
  <c r="G35" i="4" s="1"/>
  <c r="C36" i="4"/>
  <c r="F36" i="4" s="1"/>
  <c r="C37" i="4"/>
  <c r="C38" i="4"/>
  <c r="F38" i="4" s="1"/>
  <c r="H38" i="4" s="1"/>
  <c r="J38" i="4" s="1"/>
  <c r="C39" i="4"/>
  <c r="F39" i="4" s="1"/>
  <c r="G39" i="4" s="1"/>
  <c r="C40" i="4"/>
  <c r="F40" i="4" s="1"/>
  <c r="C41" i="4"/>
  <c r="C42" i="4"/>
  <c r="F42" i="4" s="1"/>
  <c r="H42" i="4" s="1"/>
  <c r="J42" i="4" s="1"/>
  <c r="C43" i="4"/>
  <c r="F43" i="4" s="1"/>
  <c r="G43" i="4" s="1"/>
  <c r="C44" i="4"/>
  <c r="F44" i="4" s="1"/>
  <c r="C45" i="4"/>
  <c r="C46" i="4"/>
  <c r="F46" i="4" s="1"/>
  <c r="H46" i="4" s="1"/>
  <c r="J46" i="4" s="1"/>
  <c r="C47" i="4"/>
  <c r="F47" i="4" s="1"/>
  <c r="G47" i="4" s="1"/>
  <c r="C48" i="4"/>
  <c r="F48" i="4" s="1"/>
  <c r="C49" i="4"/>
  <c r="C50" i="4"/>
  <c r="F50" i="4" s="1"/>
  <c r="H50" i="4" s="1"/>
  <c r="J50" i="4" s="1"/>
  <c r="C51" i="4"/>
  <c r="F51" i="4" s="1"/>
  <c r="G51" i="4" s="1"/>
  <c r="C52" i="4"/>
  <c r="F52" i="4" s="1"/>
  <c r="C53" i="4"/>
  <c r="C54" i="4"/>
  <c r="F54" i="4" s="1"/>
  <c r="H54" i="4" s="1"/>
  <c r="J54" i="4" s="1"/>
  <c r="C55" i="4"/>
  <c r="F55" i="4" s="1"/>
  <c r="G55" i="4" s="1"/>
  <c r="C56" i="4"/>
  <c r="F56" i="4" s="1"/>
  <c r="C57" i="4"/>
  <c r="C58" i="4"/>
  <c r="F58" i="4" s="1"/>
  <c r="H58" i="4" s="1"/>
  <c r="J58" i="4" s="1"/>
  <c r="C59" i="4"/>
  <c r="F59" i="4" s="1"/>
  <c r="G59" i="4" s="1"/>
  <c r="C60" i="4"/>
  <c r="F60" i="4" s="1"/>
  <c r="C61" i="4"/>
  <c r="C62" i="4"/>
  <c r="F62" i="4" s="1"/>
  <c r="H62" i="4" s="1"/>
  <c r="J62" i="4" s="1"/>
  <c r="C63" i="4"/>
  <c r="F63" i="4" s="1"/>
  <c r="G63" i="4" s="1"/>
  <c r="C64" i="4"/>
  <c r="F64" i="4" s="1"/>
  <c r="C65" i="4"/>
  <c r="C66" i="4"/>
  <c r="F66" i="4" s="1"/>
  <c r="H66" i="4" s="1"/>
  <c r="J66" i="4" s="1"/>
  <c r="C67" i="4"/>
  <c r="F67" i="4" s="1"/>
  <c r="G67" i="4" s="1"/>
  <c r="C68" i="4"/>
  <c r="F68" i="4" s="1"/>
  <c r="C69" i="4"/>
  <c r="C70" i="4"/>
  <c r="F70" i="4" s="1"/>
  <c r="H70" i="4" s="1"/>
  <c r="J70" i="4" s="1"/>
  <c r="C71" i="4"/>
  <c r="F71" i="4" s="1"/>
  <c r="G71" i="4" s="1"/>
  <c r="C72" i="4"/>
  <c r="F72" i="4" s="1"/>
  <c r="C73" i="4"/>
  <c r="C74" i="4"/>
  <c r="F74" i="4" s="1"/>
  <c r="H74" i="4" s="1"/>
  <c r="J74" i="4" s="1"/>
  <c r="C75" i="4"/>
  <c r="F75" i="4" s="1"/>
  <c r="G75" i="4" s="1"/>
  <c r="C76" i="4"/>
  <c r="F76" i="4" s="1"/>
  <c r="C77" i="4"/>
  <c r="C78" i="4"/>
  <c r="F78" i="4" s="1"/>
  <c r="H78" i="4" s="1"/>
  <c r="J78" i="4" s="1"/>
  <c r="C79" i="4"/>
  <c r="F79" i="4" s="1"/>
  <c r="G79" i="4" s="1"/>
  <c r="C80" i="4"/>
  <c r="F80" i="4" s="1"/>
  <c r="C81" i="4"/>
  <c r="C82" i="4"/>
  <c r="F82" i="4" s="1"/>
  <c r="H82" i="4" s="1"/>
  <c r="J82" i="4" s="1"/>
  <c r="C83" i="4"/>
  <c r="F83" i="4" s="1"/>
  <c r="G83" i="4" s="1"/>
  <c r="C84" i="4"/>
  <c r="F84" i="4" s="1"/>
  <c r="C85" i="4"/>
  <c r="C86" i="4"/>
  <c r="F86" i="4" s="1"/>
  <c r="H86" i="4" s="1"/>
  <c r="J86" i="4" s="1"/>
  <c r="C87" i="4"/>
  <c r="F87" i="4" s="1"/>
  <c r="G87" i="4" s="1"/>
  <c r="C88" i="4"/>
  <c r="F88" i="4" s="1"/>
  <c r="C89" i="4"/>
  <c r="C90" i="4"/>
  <c r="F90" i="4" s="1"/>
  <c r="H90" i="4" s="1"/>
  <c r="J90" i="4" s="1"/>
  <c r="C91" i="4"/>
  <c r="F91" i="4" s="1"/>
  <c r="G91" i="4" s="1"/>
  <c r="C92" i="4"/>
  <c r="F92" i="4" s="1"/>
  <c r="C93" i="4"/>
  <c r="C94" i="4"/>
  <c r="F94" i="4" s="1"/>
  <c r="H94" i="4" s="1"/>
  <c r="J94" i="4" s="1"/>
  <c r="C95" i="4"/>
  <c r="F95" i="4" s="1"/>
  <c r="G95" i="4" s="1"/>
  <c r="C96" i="4"/>
  <c r="F96" i="4" s="1"/>
  <c r="C8" i="4"/>
  <c r="C7" i="4"/>
  <c r="H96" i="4" l="1"/>
  <c r="J96" i="4" s="1"/>
  <c r="G96" i="4"/>
  <c r="H84" i="4"/>
  <c r="J84" i="4" s="1"/>
  <c r="G84" i="4"/>
  <c r="H72" i="4"/>
  <c r="J72" i="4" s="1"/>
  <c r="G72" i="4"/>
  <c r="H88" i="4"/>
  <c r="J88" i="4" s="1"/>
  <c r="G88" i="4"/>
  <c r="H92" i="4"/>
  <c r="J92" i="4" s="1"/>
  <c r="G92" i="4"/>
  <c r="H80" i="4"/>
  <c r="J80" i="4" s="1"/>
  <c r="G80" i="4"/>
  <c r="H68" i="4"/>
  <c r="J68" i="4" s="1"/>
  <c r="G68" i="4"/>
  <c r="H64" i="4"/>
  <c r="J64" i="4" s="1"/>
  <c r="G64" i="4"/>
  <c r="H60" i="4"/>
  <c r="J60" i="4" s="1"/>
  <c r="G60" i="4"/>
  <c r="H56" i="4"/>
  <c r="J56" i="4" s="1"/>
  <c r="G56" i="4"/>
  <c r="H52" i="4"/>
  <c r="J52" i="4" s="1"/>
  <c r="G52" i="4"/>
  <c r="H48" i="4"/>
  <c r="J48" i="4" s="1"/>
  <c r="G48" i="4"/>
  <c r="H44" i="4"/>
  <c r="J44" i="4" s="1"/>
  <c r="G44" i="4"/>
  <c r="H40" i="4"/>
  <c r="J40" i="4" s="1"/>
  <c r="G40" i="4"/>
  <c r="H36" i="4"/>
  <c r="J36" i="4" s="1"/>
  <c r="G36" i="4"/>
  <c r="H32" i="4"/>
  <c r="J32" i="4" s="1"/>
  <c r="G32" i="4"/>
  <c r="H28" i="4"/>
  <c r="J28" i="4" s="1"/>
  <c r="G28" i="4"/>
  <c r="H24" i="4"/>
  <c r="J24" i="4" s="1"/>
  <c r="G24" i="4"/>
  <c r="H20" i="4"/>
  <c r="J20" i="4" s="1"/>
  <c r="G20" i="4"/>
  <c r="H16" i="4"/>
  <c r="J16" i="4" s="1"/>
  <c r="G16" i="4"/>
  <c r="H12" i="4"/>
  <c r="J12" i="4" s="1"/>
  <c r="G12" i="4"/>
  <c r="H76" i="4"/>
  <c r="J76" i="4" s="1"/>
  <c r="G76" i="4"/>
  <c r="G8" i="4"/>
  <c r="J7" i="4"/>
  <c r="G94" i="4"/>
  <c r="G90" i="4"/>
  <c r="G86" i="4"/>
  <c r="G82" i="4"/>
  <c r="G78" i="4"/>
  <c r="G74" i="4"/>
  <c r="G70" i="4"/>
  <c r="G66" i="4"/>
  <c r="G62" i="4"/>
  <c r="G58" i="4"/>
  <c r="G54" i="4"/>
  <c r="G50" i="4"/>
  <c r="G46" i="4"/>
  <c r="G42" i="4"/>
  <c r="G38" i="4"/>
  <c r="G34" i="4"/>
  <c r="G30" i="4"/>
  <c r="G26" i="4"/>
  <c r="G22" i="4"/>
  <c r="G18" i="4"/>
  <c r="G14" i="4"/>
  <c r="G10" i="4"/>
  <c r="G7" i="4"/>
  <c r="G93" i="4"/>
  <c r="G89" i="4"/>
  <c r="G85" i="4"/>
  <c r="G81" i="4"/>
  <c r="G77" i="4"/>
  <c r="G73" i="4"/>
  <c r="G69" i="4"/>
  <c r="G65" i="4"/>
  <c r="G61" i="4"/>
  <c r="G57" i="4"/>
  <c r="G53" i="4"/>
  <c r="G49" i="4"/>
  <c r="G45" i="4"/>
  <c r="G41" i="4"/>
  <c r="G37" i="4"/>
  <c r="G33" i="4"/>
  <c r="G29" i="4"/>
  <c r="G25" i="4"/>
  <c r="G21" i="4"/>
  <c r="G17" i="4"/>
  <c r="G13" i="4"/>
  <c r="G9" i="4"/>
  <c r="H95" i="4"/>
  <c r="J95" i="4" s="1"/>
  <c r="H91" i="4"/>
  <c r="J91" i="4" s="1"/>
  <c r="H87" i="4"/>
  <c r="J87" i="4" s="1"/>
  <c r="H83" i="4"/>
  <c r="J83" i="4" s="1"/>
  <c r="H79" i="4"/>
  <c r="J79" i="4" s="1"/>
  <c r="H75" i="4"/>
  <c r="J75" i="4" s="1"/>
  <c r="H71" i="4"/>
  <c r="J71" i="4" s="1"/>
  <c r="H67" i="4"/>
  <c r="J67" i="4" s="1"/>
  <c r="H63" i="4"/>
  <c r="J63" i="4" s="1"/>
  <c r="H59" i="4"/>
  <c r="J59" i="4" s="1"/>
  <c r="H55" i="4"/>
  <c r="J55" i="4" s="1"/>
  <c r="H51" i="4"/>
  <c r="J51" i="4" s="1"/>
  <c r="H47" i="4"/>
  <c r="J47" i="4" s="1"/>
  <c r="H43" i="4"/>
  <c r="J43" i="4" s="1"/>
  <c r="H39" i="4"/>
  <c r="J39" i="4" s="1"/>
  <c r="H35" i="4"/>
  <c r="J35" i="4" s="1"/>
  <c r="H31" i="4"/>
  <c r="J31" i="4" s="1"/>
  <c r="H27" i="4"/>
  <c r="J27" i="4" s="1"/>
  <c r="H23" i="4"/>
  <c r="J23" i="4" s="1"/>
  <c r="H19" i="4"/>
  <c r="J19" i="4" s="1"/>
  <c r="H15" i="4"/>
  <c r="J15" i="4" s="1"/>
  <c r="H11" i="4"/>
  <c r="J11" i="4" s="1"/>
  <c r="F97" i="4"/>
  <c r="G97" i="4" l="1"/>
  <c r="H97" i="4"/>
  <c r="E7" i="3" l="1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6" i="3"/>
  <c r="C8" i="3" l="1"/>
  <c r="F8" i="3" s="1"/>
  <c r="C9" i="3"/>
  <c r="F9" i="3" s="1"/>
  <c r="C10" i="3"/>
  <c r="F10" i="3" s="1"/>
  <c r="C11" i="3"/>
  <c r="F11" i="3" s="1"/>
  <c r="C12" i="3"/>
  <c r="F12" i="3" s="1"/>
  <c r="C13" i="3"/>
  <c r="F13" i="3" s="1"/>
  <c r="C14" i="3"/>
  <c r="F14" i="3" s="1"/>
  <c r="C15" i="3"/>
  <c r="F15" i="3" s="1"/>
  <c r="C16" i="3"/>
  <c r="F16" i="3" s="1"/>
  <c r="C17" i="3"/>
  <c r="F17" i="3" s="1"/>
  <c r="C18" i="3"/>
  <c r="F18" i="3" s="1"/>
  <c r="C19" i="3"/>
  <c r="F19" i="3" s="1"/>
  <c r="C20" i="3"/>
  <c r="F20" i="3" s="1"/>
  <c r="C21" i="3"/>
  <c r="F21" i="3" s="1"/>
  <c r="C22" i="3"/>
  <c r="F22" i="3" s="1"/>
  <c r="C23" i="3"/>
  <c r="F23" i="3" s="1"/>
  <c r="C24" i="3"/>
  <c r="F24" i="3" s="1"/>
  <c r="C25" i="3"/>
  <c r="F25" i="3" s="1"/>
  <c r="C26" i="3"/>
  <c r="F26" i="3" s="1"/>
  <c r="C27" i="3"/>
  <c r="F27" i="3" s="1"/>
  <c r="C28" i="3"/>
  <c r="F28" i="3" s="1"/>
  <c r="C29" i="3"/>
  <c r="F29" i="3" s="1"/>
  <c r="C30" i="3"/>
  <c r="F30" i="3" s="1"/>
  <c r="C31" i="3"/>
  <c r="F31" i="3" s="1"/>
  <c r="C32" i="3"/>
  <c r="F32" i="3" s="1"/>
  <c r="C33" i="3"/>
  <c r="F33" i="3" s="1"/>
  <c r="C34" i="3"/>
  <c r="F34" i="3" s="1"/>
  <c r="C35" i="3"/>
  <c r="F35" i="3" s="1"/>
  <c r="C36" i="3"/>
  <c r="F36" i="3" s="1"/>
  <c r="C37" i="3"/>
  <c r="F37" i="3" s="1"/>
  <c r="C38" i="3"/>
  <c r="F38" i="3" s="1"/>
  <c r="C39" i="3"/>
  <c r="F39" i="3" s="1"/>
  <c r="C40" i="3"/>
  <c r="F40" i="3" s="1"/>
  <c r="C41" i="3"/>
  <c r="F41" i="3" s="1"/>
  <c r="C42" i="3"/>
  <c r="F42" i="3" s="1"/>
  <c r="C43" i="3"/>
  <c r="F43" i="3" s="1"/>
  <c r="C44" i="3"/>
  <c r="F44" i="3" s="1"/>
  <c r="C45" i="3"/>
  <c r="F45" i="3" s="1"/>
  <c r="C46" i="3"/>
  <c r="F46" i="3" s="1"/>
  <c r="C47" i="3"/>
  <c r="F47" i="3" s="1"/>
  <c r="C48" i="3"/>
  <c r="F48" i="3" s="1"/>
  <c r="C49" i="3"/>
  <c r="F49" i="3" s="1"/>
  <c r="C50" i="3"/>
  <c r="F50" i="3" s="1"/>
  <c r="C51" i="3"/>
  <c r="F51" i="3" s="1"/>
  <c r="C52" i="3"/>
  <c r="F52" i="3" s="1"/>
  <c r="C53" i="3"/>
  <c r="F53" i="3" s="1"/>
  <c r="C54" i="3"/>
  <c r="F54" i="3" s="1"/>
  <c r="C55" i="3"/>
  <c r="F55" i="3" s="1"/>
  <c r="C56" i="3"/>
  <c r="F56" i="3" s="1"/>
  <c r="C57" i="3"/>
  <c r="F57" i="3" s="1"/>
  <c r="C58" i="3"/>
  <c r="F58" i="3" s="1"/>
  <c r="C59" i="3"/>
  <c r="F59" i="3" s="1"/>
  <c r="C60" i="3"/>
  <c r="F60" i="3" s="1"/>
  <c r="C61" i="3"/>
  <c r="F61" i="3" s="1"/>
  <c r="C62" i="3"/>
  <c r="F62" i="3" s="1"/>
  <c r="C63" i="3"/>
  <c r="F63" i="3" s="1"/>
  <c r="C64" i="3"/>
  <c r="F64" i="3" s="1"/>
  <c r="C65" i="3"/>
  <c r="F65" i="3" s="1"/>
  <c r="C66" i="3"/>
  <c r="F66" i="3" s="1"/>
  <c r="C67" i="3"/>
  <c r="F67" i="3" s="1"/>
  <c r="C68" i="3"/>
  <c r="F68" i="3" s="1"/>
  <c r="C69" i="3"/>
  <c r="F69" i="3" s="1"/>
  <c r="C70" i="3"/>
  <c r="F70" i="3" s="1"/>
  <c r="C71" i="3"/>
  <c r="F71" i="3" s="1"/>
  <c r="C72" i="3"/>
  <c r="F72" i="3" s="1"/>
  <c r="C73" i="3"/>
  <c r="F73" i="3" s="1"/>
  <c r="C74" i="3"/>
  <c r="F74" i="3" s="1"/>
  <c r="C75" i="3"/>
  <c r="F75" i="3" s="1"/>
  <c r="C76" i="3"/>
  <c r="F76" i="3" s="1"/>
  <c r="C77" i="3"/>
  <c r="F77" i="3" s="1"/>
  <c r="C78" i="3"/>
  <c r="F78" i="3" s="1"/>
  <c r="C79" i="3"/>
  <c r="F79" i="3" s="1"/>
  <c r="C80" i="3"/>
  <c r="F80" i="3" s="1"/>
  <c r="C81" i="3"/>
  <c r="F81" i="3" s="1"/>
  <c r="C82" i="3"/>
  <c r="F82" i="3" s="1"/>
  <c r="C83" i="3"/>
  <c r="F83" i="3" s="1"/>
  <c r="C84" i="3"/>
  <c r="F84" i="3" s="1"/>
  <c r="C85" i="3"/>
  <c r="F85" i="3" s="1"/>
  <c r="C86" i="3"/>
  <c r="F86" i="3" s="1"/>
  <c r="C87" i="3"/>
  <c r="F87" i="3" s="1"/>
  <c r="C88" i="3"/>
  <c r="F88" i="3" s="1"/>
  <c r="C89" i="3"/>
  <c r="F89" i="3" s="1"/>
  <c r="C90" i="3"/>
  <c r="F90" i="3" s="1"/>
  <c r="C91" i="3"/>
  <c r="F91" i="3" s="1"/>
  <c r="C92" i="3"/>
  <c r="F92" i="3" s="1"/>
  <c r="C93" i="3"/>
  <c r="F93" i="3" s="1"/>
  <c r="C94" i="3"/>
  <c r="F94" i="3" s="1"/>
  <c r="C95" i="3"/>
  <c r="F95" i="3" s="1"/>
  <c r="C7" i="3"/>
  <c r="F7" i="3" s="1"/>
  <c r="C6" i="3"/>
  <c r="F6" i="3" s="1"/>
  <c r="G6" i="3" l="1"/>
  <c r="I6" i="3" s="1"/>
  <c r="H6" i="3" s="1"/>
  <c r="G7" i="3"/>
  <c r="I7" i="3" s="1"/>
  <c r="H7" i="3" s="1"/>
  <c r="G8" i="3"/>
  <c r="I8" i="3" s="1"/>
  <c r="H8" i="3" s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7" i="2"/>
  <c r="C8" i="2"/>
  <c r="C6" i="2"/>
  <c r="D6" i="2" s="1"/>
  <c r="D7" i="2" s="1"/>
  <c r="G9" i="3" l="1"/>
  <c r="I9" i="3" s="1"/>
  <c r="H9" i="3" s="1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N3" i="2" s="1"/>
  <c r="L3" i="2" s="1"/>
  <c r="H3" i="2" s="1"/>
  <c r="F3" i="2" s="1"/>
  <c r="G10" i="3" l="1"/>
  <c r="I10" i="3" s="1"/>
  <c r="H10" i="3" s="1"/>
  <c r="G11" i="3" l="1"/>
  <c r="I11" i="3" s="1"/>
  <c r="H11" i="3" s="1"/>
  <c r="G12" i="3" l="1"/>
  <c r="I12" i="3" s="1"/>
  <c r="H12" i="3" s="1"/>
  <c r="G13" i="3" l="1"/>
  <c r="I13" i="3" s="1"/>
  <c r="H13" i="3" s="1"/>
  <c r="G14" i="3" l="1"/>
  <c r="I14" i="3" s="1"/>
  <c r="H14" i="3" s="1"/>
  <c r="G15" i="3" l="1"/>
  <c r="I15" i="3" s="1"/>
  <c r="H15" i="3" s="1"/>
  <c r="G16" i="3" l="1"/>
  <c r="I16" i="3" s="1"/>
  <c r="H16" i="3" s="1"/>
  <c r="G17" i="3" l="1"/>
  <c r="I17" i="3" s="1"/>
  <c r="H17" i="3" s="1"/>
  <c r="G18" i="3" l="1"/>
  <c r="I18" i="3" s="1"/>
  <c r="H18" i="3" s="1"/>
  <c r="G19" i="3" l="1"/>
  <c r="I19" i="3" s="1"/>
  <c r="H19" i="3" s="1"/>
  <c r="G20" i="3" l="1"/>
  <c r="I20" i="3" s="1"/>
  <c r="H20" i="3" s="1"/>
  <c r="G21" i="3" l="1"/>
  <c r="I21" i="3" s="1"/>
  <c r="H21" i="3" s="1"/>
  <c r="G22" i="3" l="1"/>
  <c r="I22" i="3" s="1"/>
  <c r="H22" i="3" s="1"/>
  <c r="G23" i="3" l="1"/>
  <c r="I23" i="3" s="1"/>
  <c r="H23" i="3" s="1"/>
  <c r="G24" i="3" l="1"/>
  <c r="I24" i="3" s="1"/>
  <c r="H24" i="3" s="1"/>
  <c r="G25" i="3" l="1"/>
  <c r="I25" i="3" s="1"/>
  <c r="H25" i="3" s="1"/>
  <c r="G26" i="3" l="1"/>
  <c r="I26" i="3" s="1"/>
  <c r="H26" i="3" s="1"/>
  <c r="G27" i="3" l="1"/>
  <c r="I27" i="3" s="1"/>
  <c r="H27" i="3" s="1"/>
  <c r="G28" i="3" l="1"/>
  <c r="I28" i="3" s="1"/>
  <c r="H28" i="3" s="1"/>
  <c r="G29" i="3" l="1"/>
  <c r="I29" i="3" s="1"/>
  <c r="H29" i="3" s="1"/>
  <c r="G30" i="3" l="1"/>
  <c r="I30" i="3" s="1"/>
  <c r="H30" i="3" s="1"/>
  <c r="G31" i="3" l="1"/>
  <c r="I31" i="3" s="1"/>
  <c r="H31" i="3" s="1"/>
  <c r="G32" i="3" l="1"/>
  <c r="I32" i="3" s="1"/>
  <c r="H32" i="3" s="1"/>
  <c r="G33" i="3" l="1"/>
  <c r="I33" i="3" s="1"/>
  <c r="H33" i="3" s="1"/>
  <c r="G34" i="3" l="1"/>
  <c r="I34" i="3" s="1"/>
  <c r="H34" i="3" s="1"/>
  <c r="G35" i="3" l="1"/>
  <c r="I35" i="3" s="1"/>
  <c r="H35" i="3" s="1"/>
  <c r="G36" i="3" l="1"/>
  <c r="I36" i="3" s="1"/>
  <c r="H36" i="3" s="1"/>
  <c r="G37" i="3" l="1"/>
  <c r="I37" i="3" s="1"/>
  <c r="H37" i="3" s="1"/>
  <c r="G38" i="3" l="1"/>
  <c r="I38" i="3" s="1"/>
  <c r="H38" i="3" s="1"/>
  <c r="G39" i="3" l="1"/>
  <c r="I39" i="3" s="1"/>
  <c r="H39" i="3" s="1"/>
  <c r="G40" i="3" l="1"/>
  <c r="I40" i="3" s="1"/>
  <c r="H40" i="3" s="1"/>
  <c r="G41" i="3" l="1"/>
  <c r="I41" i="3" s="1"/>
  <c r="H41" i="3" s="1"/>
  <c r="G42" i="3" l="1"/>
  <c r="I42" i="3" s="1"/>
  <c r="H42" i="3" s="1"/>
  <c r="G43" i="3" l="1"/>
  <c r="I43" i="3" s="1"/>
  <c r="H43" i="3" s="1"/>
  <c r="G44" i="3" l="1"/>
  <c r="I44" i="3" s="1"/>
  <c r="H44" i="3" s="1"/>
  <c r="G45" i="3" l="1"/>
  <c r="I45" i="3" s="1"/>
  <c r="H45" i="3" s="1"/>
  <c r="G46" i="3" l="1"/>
  <c r="I46" i="3" s="1"/>
  <c r="H46" i="3" s="1"/>
  <c r="G47" i="3" l="1"/>
  <c r="I47" i="3" s="1"/>
  <c r="H47" i="3" s="1"/>
  <c r="G48" i="3" l="1"/>
  <c r="I48" i="3" s="1"/>
  <c r="H48" i="3" s="1"/>
  <c r="G49" i="3" l="1"/>
  <c r="I49" i="3" s="1"/>
  <c r="H49" i="3" s="1"/>
  <c r="G50" i="3" l="1"/>
  <c r="I50" i="3" s="1"/>
  <c r="H50" i="3" s="1"/>
  <c r="G51" i="3" l="1"/>
  <c r="I51" i="3" s="1"/>
  <c r="H51" i="3" s="1"/>
  <c r="G52" i="3" l="1"/>
  <c r="I52" i="3" s="1"/>
  <c r="H52" i="3" s="1"/>
  <c r="G53" i="3" l="1"/>
  <c r="I53" i="3" s="1"/>
  <c r="H53" i="3" s="1"/>
  <c r="G54" i="3" l="1"/>
  <c r="I54" i="3" s="1"/>
  <c r="H54" i="3" s="1"/>
  <c r="G55" i="3" l="1"/>
  <c r="I55" i="3" s="1"/>
  <c r="H55" i="3" s="1"/>
  <c r="G56" i="3" l="1"/>
  <c r="I56" i="3" s="1"/>
  <c r="H56" i="3" s="1"/>
  <c r="G57" i="3" l="1"/>
  <c r="I57" i="3" s="1"/>
  <c r="H57" i="3" s="1"/>
  <c r="G58" i="3" l="1"/>
  <c r="I58" i="3" s="1"/>
  <c r="H58" i="3" s="1"/>
  <c r="G59" i="3" l="1"/>
  <c r="I59" i="3" s="1"/>
  <c r="H59" i="3" s="1"/>
  <c r="G60" i="3" l="1"/>
  <c r="I60" i="3" s="1"/>
  <c r="H60" i="3" s="1"/>
  <c r="G61" i="3" l="1"/>
  <c r="I61" i="3" s="1"/>
  <c r="H61" i="3" s="1"/>
  <c r="G62" i="3" l="1"/>
  <c r="I62" i="3" s="1"/>
  <c r="H62" i="3" s="1"/>
  <c r="G63" i="3" l="1"/>
  <c r="I63" i="3" s="1"/>
  <c r="H63" i="3" s="1"/>
  <c r="G64" i="3" l="1"/>
  <c r="I64" i="3" s="1"/>
  <c r="H64" i="3" s="1"/>
  <c r="G65" i="3" l="1"/>
  <c r="I65" i="3" s="1"/>
  <c r="H65" i="3" s="1"/>
  <c r="G66" i="3" l="1"/>
  <c r="I66" i="3" s="1"/>
  <c r="H66" i="3" s="1"/>
  <c r="G67" i="3" l="1"/>
  <c r="I67" i="3" s="1"/>
  <c r="H67" i="3" s="1"/>
  <c r="G68" i="3" l="1"/>
  <c r="I68" i="3" s="1"/>
  <c r="H68" i="3" s="1"/>
  <c r="G69" i="3" l="1"/>
  <c r="I69" i="3" s="1"/>
  <c r="H69" i="3" s="1"/>
  <c r="G70" i="3" l="1"/>
  <c r="I70" i="3" s="1"/>
  <c r="H70" i="3" s="1"/>
  <c r="G71" i="3" l="1"/>
  <c r="I71" i="3" s="1"/>
  <c r="H71" i="3" s="1"/>
  <c r="G72" i="3" l="1"/>
  <c r="I72" i="3" s="1"/>
  <c r="H72" i="3" s="1"/>
  <c r="G73" i="3" l="1"/>
  <c r="I73" i="3" s="1"/>
  <c r="H73" i="3" s="1"/>
  <c r="G74" i="3" l="1"/>
  <c r="I74" i="3" s="1"/>
  <c r="H74" i="3" s="1"/>
  <c r="G75" i="3" l="1"/>
  <c r="I75" i="3" s="1"/>
  <c r="H75" i="3" s="1"/>
  <c r="G76" i="3" l="1"/>
  <c r="I76" i="3" s="1"/>
  <c r="H76" i="3" s="1"/>
  <c r="G77" i="3" l="1"/>
  <c r="I77" i="3" s="1"/>
  <c r="H77" i="3" s="1"/>
  <c r="G78" i="3" l="1"/>
  <c r="I78" i="3" s="1"/>
  <c r="H78" i="3" s="1"/>
  <c r="G79" i="3" l="1"/>
  <c r="I79" i="3" s="1"/>
  <c r="H79" i="3" s="1"/>
  <c r="G80" i="3" l="1"/>
  <c r="I80" i="3" s="1"/>
  <c r="H80" i="3" s="1"/>
  <c r="G81" i="3" l="1"/>
  <c r="I81" i="3" s="1"/>
  <c r="H81" i="3" s="1"/>
  <c r="G82" i="3" l="1"/>
  <c r="I82" i="3" s="1"/>
  <c r="H82" i="3" s="1"/>
  <c r="G83" i="3" l="1"/>
  <c r="I83" i="3" s="1"/>
  <c r="H83" i="3" s="1"/>
  <c r="G84" i="3" l="1"/>
  <c r="I84" i="3" s="1"/>
  <c r="H84" i="3" s="1"/>
  <c r="G85" i="3" l="1"/>
  <c r="I85" i="3" s="1"/>
  <c r="H85" i="3" s="1"/>
  <c r="G86" i="3" l="1"/>
  <c r="I86" i="3" s="1"/>
  <c r="H86" i="3" s="1"/>
  <c r="G87" i="3" l="1"/>
  <c r="I87" i="3" s="1"/>
  <c r="H87" i="3" s="1"/>
  <c r="G88" i="3" l="1"/>
  <c r="I88" i="3" s="1"/>
  <c r="H88" i="3" s="1"/>
  <c r="G89" i="3" l="1"/>
  <c r="I89" i="3" s="1"/>
  <c r="H89" i="3" s="1"/>
  <c r="G90" i="3" l="1"/>
  <c r="I90" i="3" s="1"/>
  <c r="H90" i="3" s="1"/>
  <c r="G91" i="3" l="1"/>
  <c r="I91" i="3" s="1"/>
  <c r="H91" i="3" s="1"/>
  <c r="G92" i="3" l="1"/>
  <c r="I92" i="3" s="1"/>
  <c r="H92" i="3" s="1"/>
  <c r="G93" i="3" l="1"/>
  <c r="I93" i="3" s="1"/>
  <c r="H93" i="3" s="1"/>
  <c r="G95" i="3" l="1"/>
  <c r="I95" i="3" s="1"/>
  <c r="H95" i="3" s="1"/>
  <c r="G94" i="3"/>
  <c r="I94" i="3" s="1"/>
  <c r="H94" i="3" s="1"/>
  <c r="H9" i="1" l="1"/>
  <c r="H8" i="1"/>
  <c r="H7" i="1"/>
  <c r="L10" i="1"/>
  <c r="L9" i="1"/>
  <c r="L8" i="1"/>
  <c r="L7" i="1"/>
  <c r="M8" i="1" l="1"/>
  <c r="H10" i="1"/>
  <c r="F17" i="1"/>
  <c r="F16" i="1"/>
  <c r="F15" i="1"/>
  <c r="F14" i="1"/>
  <c r="E17" i="1"/>
  <c r="E16" i="1"/>
  <c r="E15" i="1"/>
  <c r="E14" i="1"/>
  <c r="D17" i="1"/>
  <c r="D16" i="1"/>
  <c r="D15" i="1"/>
  <c r="C17" i="1"/>
  <c r="C16" i="1"/>
  <c r="G23" i="1" s="1"/>
  <c r="C15" i="1"/>
  <c r="G22" i="1" s="1"/>
  <c r="D14" i="1"/>
  <c r="C21" i="1" s="1"/>
  <c r="C14" i="1"/>
  <c r="G21" i="1" s="1"/>
  <c r="M26" i="1"/>
  <c r="M22" i="1"/>
  <c r="M14" i="1"/>
  <c r="M18" i="1"/>
  <c r="C24" i="1" l="1"/>
  <c r="E24" i="1" s="1"/>
  <c r="E29" i="1"/>
  <c r="C23" i="1"/>
  <c r="E23" i="1" s="1"/>
  <c r="H23" i="1"/>
  <c r="D29" i="1" s="1"/>
  <c r="C29" i="1"/>
  <c r="C22" i="1"/>
  <c r="E22" i="1" s="1"/>
  <c r="H21" i="1"/>
  <c r="B29" i="1" s="1"/>
  <c r="E21" i="1"/>
  <c r="J8" i="1"/>
  <c r="J10" i="1"/>
  <c r="J9" i="1"/>
  <c r="J7" i="1"/>
  <c r="G9" i="1"/>
  <c r="G10" i="1"/>
  <c r="G8" i="1"/>
  <c r="G7" i="1"/>
  <c r="O268" i="1" l="1"/>
  <c r="O272" i="1"/>
  <c r="O276" i="1"/>
  <c r="O280" i="1"/>
  <c r="O284" i="1"/>
  <c r="O288" i="1"/>
  <c r="O292" i="1"/>
  <c r="O296" i="1"/>
  <c r="O300" i="1"/>
  <c r="O304" i="1"/>
  <c r="O308" i="1"/>
  <c r="O312" i="1"/>
  <c r="O316" i="1"/>
  <c r="O320" i="1"/>
  <c r="O324" i="1"/>
  <c r="O328" i="1"/>
  <c r="O332" i="1"/>
  <c r="O336" i="1"/>
  <c r="O340" i="1"/>
  <c r="O344" i="1"/>
  <c r="O348" i="1"/>
  <c r="O352" i="1"/>
  <c r="O356" i="1"/>
  <c r="O360" i="1"/>
  <c r="O264" i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Q360" i="1"/>
  <c r="Q356" i="1"/>
  <c r="Q352" i="1"/>
  <c r="Q348" i="1"/>
  <c r="Q344" i="1"/>
  <c r="Q340" i="1"/>
  <c r="Q336" i="1"/>
  <c r="Q332" i="1"/>
  <c r="Q328" i="1"/>
  <c r="Q324" i="1"/>
  <c r="Q320" i="1"/>
  <c r="Q316" i="1"/>
  <c r="Q312" i="1"/>
  <c r="Q308" i="1"/>
  <c r="Q304" i="1"/>
  <c r="Q300" i="1"/>
  <c r="Q296" i="1"/>
  <c r="Q292" i="1"/>
  <c r="Q288" i="1"/>
  <c r="Q284" i="1"/>
  <c r="Q280" i="1"/>
  <c r="Q276" i="1"/>
  <c r="Q272" i="1"/>
  <c r="Q268" i="1"/>
  <c r="Q264" i="1"/>
  <c r="P264" i="1" s="1"/>
  <c r="P265" i="1" s="1"/>
  <c r="P266" i="1" s="1"/>
  <c r="P267" i="1" s="1"/>
  <c r="P268" i="1" s="1"/>
  <c r="P269" i="1" s="1"/>
  <c r="P270" i="1" s="1"/>
  <c r="P271" i="1" s="1"/>
  <c r="P272" i="1" s="1"/>
  <c r="P273" i="1" s="1"/>
  <c r="P274" i="1" s="1"/>
  <c r="P275" i="1" s="1"/>
  <c r="P276" i="1" s="1"/>
  <c r="P277" i="1" s="1"/>
  <c r="P278" i="1" s="1"/>
  <c r="P279" i="1" s="1"/>
  <c r="P280" i="1" s="1"/>
  <c r="P281" i="1" s="1"/>
  <c r="P282" i="1" s="1"/>
  <c r="P283" i="1" s="1"/>
  <c r="P284" i="1" s="1"/>
  <c r="P285" i="1" s="1"/>
  <c r="P286" i="1" s="1"/>
  <c r="P287" i="1" s="1"/>
  <c r="P288" i="1" s="1"/>
  <c r="P289" i="1" s="1"/>
  <c r="P290" i="1" s="1"/>
  <c r="P291" i="1" s="1"/>
  <c r="P292" i="1" s="1"/>
  <c r="P293" i="1" s="1"/>
  <c r="P294" i="1" s="1"/>
  <c r="P295" i="1" s="1"/>
  <c r="P296" i="1" s="1"/>
  <c r="P297" i="1" s="1"/>
  <c r="P298" i="1" s="1"/>
  <c r="P299" i="1" s="1"/>
  <c r="P300" i="1" s="1"/>
  <c r="P301" i="1" s="1"/>
  <c r="P302" i="1" s="1"/>
  <c r="P303" i="1" s="1"/>
  <c r="P304" i="1" s="1"/>
  <c r="P305" i="1" s="1"/>
  <c r="P306" i="1" s="1"/>
  <c r="P307" i="1" s="1"/>
  <c r="P308" i="1" s="1"/>
  <c r="P309" i="1" s="1"/>
  <c r="P310" i="1" s="1"/>
  <c r="P311" i="1" s="1"/>
  <c r="P312" i="1" s="1"/>
  <c r="P313" i="1" s="1"/>
  <c r="P314" i="1" s="1"/>
  <c r="P315" i="1" s="1"/>
  <c r="P316" i="1" s="1"/>
  <c r="P317" i="1" s="1"/>
  <c r="P318" i="1" s="1"/>
  <c r="P319" i="1" s="1"/>
  <c r="P320" i="1" s="1"/>
  <c r="P321" i="1" s="1"/>
  <c r="P322" i="1" s="1"/>
  <c r="P323" i="1" s="1"/>
  <c r="P324" i="1" s="1"/>
  <c r="P325" i="1" s="1"/>
  <c r="P326" i="1" s="1"/>
  <c r="P327" i="1" s="1"/>
  <c r="P328" i="1" s="1"/>
  <c r="P329" i="1" s="1"/>
  <c r="P330" i="1" s="1"/>
  <c r="P331" i="1" s="1"/>
  <c r="P332" i="1" s="1"/>
  <c r="P333" i="1" s="1"/>
  <c r="P334" i="1" s="1"/>
  <c r="P335" i="1" s="1"/>
  <c r="P336" i="1" s="1"/>
  <c r="P337" i="1" s="1"/>
  <c r="P338" i="1" s="1"/>
  <c r="P339" i="1" s="1"/>
  <c r="P340" i="1" s="1"/>
  <c r="P341" i="1" s="1"/>
  <c r="P342" i="1" s="1"/>
  <c r="P343" i="1" s="1"/>
  <c r="P344" i="1" s="1"/>
  <c r="P345" i="1" s="1"/>
  <c r="P346" i="1" s="1"/>
  <c r="P347" i="1" s="1"/>
  <c r="P348" i="1" s="1"/>
  <c r="P349" i="1" s="1"/>
  <c r="P350" i="1" s="1"/>
  <c r="P351" i="1" s="1"/>
  <c r="P352" i="1" s="1"/>
  <c r="P353" i="1" s="1"/>
  <c r="P354" i="1" s="1"/>
  <c r="P355" i="1" s="1"/>
  <c r="P356" i="1" s="1"/>
  <c r="P357" i="1" s="1"/>
  <c r="P358" i="1" s="1"/>
  <c r="P359" i="1" s="1"/>
  <c r="P360" i="1" s="1"/>
  <c r="P361" i="1" s="1"/>
  <c r="P362" i="1" s="1"/>
  <c r="P363" i="1" s="1"/>
  <c r="K267" i="1"/>
  <c r="K271" i="1"/>
  <c r="K275" i="1"/>
  <c r="K279" i="1"/>
  <c r="K283" i="1"/>
  <c r="K287" i="1"/>
  <c r="K291" i="1"/>
  <c r="K295" i="1"/>
  <c r="K299" i="1"/>
  <c r="K303" i="1"/>
  <c r="K307" i="1"/>
  <c r="K311" i="1"/>
  <c r="K315" i="1"/>
  <c r="K319" i="1"/>
  <c r="K323" i="1"/>
  <c r="K327" i="1"/>
  <c r="K331" i="1"/>
  <c r="K335" i="1"/>
  <c r="K339" i="1"/>
  <c r="K343" i="1"/>
  <c r="K347" i="1"/>
  <c r="K351" i="1"/>
  <c r="O265" i="1"/>
  <c r="O269" i="1"/>
  <c r="O273" i="1"/>
  <c r="O277" i="1"/>
  <c r="O281" i="1"/>
  <c r="O285" i="1"/>
  <c r="O289" i="1"/>
  <c r="O293" i="1"/>
  <c r="O297" i="1"/>
  <c r="O301" i="1"/>
  <c r="O305" i="1"/>
  <c r="O309" i="1"/>
  <c r="O313" i="1"/>
  <c r="O317" i="1"/>
  <c r="O321" i="1"/>
  <c r="O325" i="1"/>
  <c r="O329" i="1"/>
  <c r="O333" i="1"/>
  <c r="O337" i="1"/>
  <c r="O341" i="1"/>
  <c r="O345" i="1"/>
  <c r="O349" i="1"/>
  <c r="O353" i="1"/>
  <c r="O357" i="1"/>
  <c r="O361" i="1"/>
  <c r="Q363" i="1"/>
  <c r="Q359" i="1"/>
  <c r="Q355" i="1"/>
  <c r="Q351" i="1"/>
  <c r="Q347" i="1"/>
  <c r="Q343" i="1"/>
  <c r="Q339" i="1"/>
  <c r="Q335" i="1"/>
  <c r="Q331" i="1"/>
  <c r="Q327" i="1"/>
  <c r="Q323" i="1"/>
  <c r="Q319" i="1"/>
  <c r="Q315" i="1"/>
  <c r="Q311" i="1"/>
  <c r="Q307" i="1"/>
  <c r="Q303" i="1"/>
  <c r="Q299" i="1"/>
  <c r="Q295" i="1"/>
  <c r="Q291" i="1"/>
  <c r="Q287" i="1"/>
  <c r="Q283" i="1"/>
  <c r="Q279" i="1"/>
  <c r="Q275" i="1"/>
  <c r="Q271" i="1"/>
  <c r="Q267" i="1"/>
  <c r="K268" i="1"/>
  <c r="K272" i="1"/>
  <c r="K276" i="1"/>
  <c r="K280" i="1"/>
  <c r="K284" i="1"/>
  <c r="K288" i="1"/>
  <c r="K292" i="1"/>
  <c r="K296" i="1"/>
  <c r="K300" i="1"/>
  <c r="K304" i="1"/>
  <c r="K308" i="1"/>
  <c r="K312" i="1"/>
  <c r="K316" i="1"/>
  <c r="K320" i="1"/>
  <c r="K324" i="1"/>
  <c r="K328" i="1"/>
  <c r="K332" i="1"/>
  <c r="K336" i="1"/>
  <c r="K340" i="1"/>
  <c r="K344" i="1"/>
  <c r="O271" i="1"/>
  <c r="O279" i="1"/>
  <c r="O287" i="1"/>
  <c r="O295" i="1"/>
  <c r="O303" i="1"/>
  <c r="O311" i="1"/>
  <c r="O319" i="1"/>
  <c r="O327" i="1"/>
  <c r="O335" i="1"/>
  <c r="O343" i="1"/>
  <c r="O351" i="1"/>
  <c r="O359" i="1"/>
  <c r="Q361" i="1"/>
  <c r="Q353" i="1"/>
  <c r="Q345" i="1"/>
  <c r="Q337" i="1"/>
  <c r="Q329" i="1"/>
  <c r="Q321" i="1"/>
  <c r="Q313" i="1"/>
  <c r="Q305" i="1"/>
  <c r="Q297" i="1"/>
  <c r="Q289" i="1"/>
  <c r="Q281" i="1"/>
  <c r="Q273" i="1"/>
  <c r="Q265" i="1"/>
  <c r="K266" i="1"/>
  <c r="K274" i="1"/>
  <c r="K282" i="1"/>
  <c r="K290" i="1"/>
  <c r="K298" i="1"/>
  <c r="K306" i="1"/>
  <c r="K314" i="1"/>
  <c r="K322" i="1"/>
  <c r="K330" i="1"/>
  <c r="K338" i="1"/>
  <c r="K346" i="1"/>
  <c r="K352" i="1"/>
  <c r="K356" i="1"/>
  <c r="K360" i="1"/>
  <c r="K264" i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Q159" i="1"/>
  <c r="Q163" i="1"/>
  <c r="Q167" i="1"/>
  <c r="Q171" i="1"/>
  <c r="O267" i="1"/>
  <c r="O278" i="1"/>
  <c r="O290" i="1"/>
  <c r="O299" i="1"/>
  <c r="O310" i="1"/>
  <c r="O322" i="1"/>
  <c r="O331" i="1"/>
  <c r="O342" i="1"/>
  <c r="O354" i="1"/>
  <c r="O363" i="1"/>
  <c r="Q362" i="1"/>
  <c r="Q350" i="1"/>
  <c r="Q341" i="1"/>
  <c r="Q330" i="1"/>
  <c r="Q318" i="1"/>
  <c r="Q309" i="1"/>
  <c r="Q298" i="1"/>
  <c r="Q277" i="1"/>
  <c r="Q266" i="1"/>
  <c r="K269" i="1"/>
  <c r="K278" i="1"/>
  <c r="K289" i="1"/>
  <c r="K301" i="1"/>
  <c r="K310" i="1"/>
  <c r="K321" i="1"/>
  <c r="K333" i="1"/>
  <c r="K342" i="1"/>
  <c r="K350" i="1"/>
  <c r="K357" i="1"/>
  <c r="K362" i="1"/>
  <c r="Q162" i="1"/>
  <c r="O270" i="1"/>
  <c r="O282" i="1"/>
  <c r="O291" i="1"/>
  <c r="O302" i="1"/>
  <c r="O314" i="1"/>
  <c r="O323" i="1"/>
  <c r="O334" i="1"/>
  <c r="O346" i="1"/>
  <c r="O355" i="1"/>
  <c r="Q358" i="1"/>
  <c r="Q349" i="1"/>
  <c r="Q338" i="1"/>
  <c r="Q326" i="1"/>
  <c r="Q317" i="1"/>
  <c r="Q306" i="1"/>
  <c r="Q294" i="1"/>
  <c r="Q285" i="1"/>
  <c r="Q274" i="1"/>
  <c r="K270" i="1"/>
  <c r="K281" i="1"/>
  <c r="K293" i="1"/>
  <c r="K302" i="1"/>
  <c r="K313" i="1"/>
  <c r="K325" i="1"/>
  <c r="K334" i="1"/>
  <c r="K345" i="1"/>
  <c r="K353" i="1"/>
  <c r="K358" i="1"/>
  <c r="K363" i="1"/>
  <c r="O274" i="1"/>
  <c r="O283" i="1"/>
  <c r="O294" i="1"/>
  <c r="O306" i="1"/>
  <c r="O315" i="1"/>
  <c r="O326" i="1"/>
  <c r="O338" i="1"/>
  <c r="O347" i="1"/>
  <c r="O358" i="1"/>
  <c r="Q357" i="1"/>
  <c r="Q346" i="1"/>
  <c r="Q334" i="1"/>
  <c r="Q325" i="1"/>
  <c r="Q314" i="1"/>
  <c r="Q302" i="1"/>
  <c r="Q293" i="1"/>
  <c r="Q282" i="1"/>
  <c r="Q270" i="1"/>
  <c r="K273" i="1"/>
  <c r="K285" i="1"/>
  <c r="K294" i="1"/>
  <c r="K305" i="1"/>
  <c r="K317" i="1"/>
  <c r="K326" i="1"/>
  <c r="K337" i="1"/>
  <c r="K348" i="1"/>
  <c r="K354" i="1"/>
  <c r="K359" i="1"/>
  <c r="O266" i="1"/>
  <c r="O275" i="1"/>
  <c r="O286" i="1"/>
  <c r="O298" i="1"/>
  <c r="O307" i="1"/>
  <c r="O318" i="1"/>
  <c r="O330" i="1"/>
  <c r="O339" i="1"/>
  <c r="O350" i="1"/>
  <c r="O362" i="1"/>
  <c r="Q354" i="1"/>
  <c r="Q342" i="1"/>
  <c r="Q333" i="1"/>
  <c r="Q322" i="1"/>
  <c r="Q310" i="1"/>
  <c r="Q301" i="1"/>
  <c r="Q290" i="1"/>
  <c r="Q278" i="1"/>
  <c r="Q269" i="1"/>
  <c r="K265" i="1"/>
  <c r="K277" i="1"/>
  <c r="K286" i="1"/>
  <c r="K297" i="1"/>
  <c r="K309" i="1"/>
  <c r="K318" i="1"/>
  <c r="K329" i="1"/>
  <c r="K341" i="1"/>
  <c r="K349" i="1"/>
  <c r="K355" i="1"/>
  <c r="K361" i="1"/>
  <c r="Q161" i="1"/>
  <c r="Q166" i="1"/>
  <c r="Q172" i="1"/>
  <c r="Q176" i="1"/>
  <c r="Q180" i="1"/>
  <c r="Q184" i="1"/>
  <c r="Q188" i="1"/>
  <c r="Q192" i="1"/>
  <c r="Q196" i="1"/>
  <c r="Q200" i="1"/>
  <c r="Q204" i="1"/>
  <c r="Q208" i="1"/>
  <c r="Q212" i="1"/>
  <c r="Q216" i="1"/>
  <c r="Q220" i="1"/>
  <c r="Q224" i="1"/>
  <c r="Q228" i="1"/>
  <c r="Q232" i="1"/>
  <c r="Q236" i="1"/>
  <c r="Q240" i="1"/>
  <c r="Q244" i="1"/>
  <c r="Q248" i="1"/>
  <c r="Q252" i="1"/>
  <c r="Q256" i="1"/>
  <c r="Q286" i="1"/>
  <c r="Q168" i="1"/>
  <c r="Q165" i="1"/>
  <c r="Q174" i="1"/>
  <c r="Q179" i="1"/>
  <c r="Q185" i="1"/>
  <c r="Q190" i="1"/>
  <c r="Q195" i="1"/>
  <c r="Q201" i="1"/>
  <c r="Q206" i="1"/>
  <c r="Q211" i="1"/>
  <c r="Q217" i="1"/>
  <c r="Q222" i="1"/>
  <c r="Q227" i="1"/>
  <c r="Q233" i="1"/>
  <c r="Q238" i="1"/>
  <c r="Q243" i="1"/>
  <c r="Q249" i="1"/>
  <c r="Q254" i="1"/>
  <c r="Q169" i="1"/>
  <c r="Q175" i="1"/>
  <c r="Q181" i="1"/>
  <c r="Q186" i="1"/>
  <c r="Q191" i="1"/>
  <c r="Q197" i="1"/>
  <c r="Q202" i="1"/>
  <c r="Q207" i="1"/>
  <c r="Q213" i="1"/>
  <c r="Q218" i="1"/>
  <c r="Q223" i="1"/>
  <c r="Q229" i="1"/>
  <c r="Q234" i="1"/>
  <c r="Q239" i="1"/>
  <c r="Q245" i="1"/>
  <c r="Q250" i="1"/>
  <c r="Q255" i="1"/>
  <c r="Q160" i="1"/>
  <c r="Q170" i="1"/>
  <c r="Q177" i="1"/>
  <c r="Q182" i="1"/>
  <c r="Q187" i="1"/>
  <c r="Q193" i="1"/>
  <c r="Q198" i="1"/>
  <c r="Q203" i="1"/>
  <c r="Q209" i="1"/>
  <c r="Q214" i="1"/>
  <c r="Q219" i="1"/>
  <c r="Q225" i="1"/>
  <c r="Q230" i="1"/>
  <c r="Q235" i="1"/>
  <c r="Q241" i="1"/>
  <c r="Q246" i="1"/>
  <c r="Q251" i="1"/>
  <c r="Q257" i="1"/>
  <c r="Q158" i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P227" i="1" s="1"/>
  <c r="P228" i="1" s="1"/>
  <c r="P229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Q164" i="1"/>
  <c r="Q173" i="1"/>
  <c r="Q178" i="1"/>
  <c r="Q183" i="1"/>
  <c r="Q189" i="1"/>
  <c r="Q194" i="1"/>
  <c r="Q199" i="1"/>
  <c r="Q205" i="1"/>
  <c r="Q210" i="1"/>
  <c r="Q215" i="1"/>
  <c r="Q221" i="1"/>
  <c r="Q226" i="1"/>
  <c r="Q231" i="1"/>
  <c r="Q237" i="1"/>
  <c r="Q242" i="1"/>
  <c r="Q247" i="1"/>
  <c r="Q253" i="1"/>
  <c r="I360" i="1"/>
  <c r="I356" i="1"/>
  <c r="I352" i="1"/>
  <c r="I348" i="1"/>
  <c r="I344" i="1"/>
  <c r="I340" i="1"/>
  <c r="I336" i="1"/>
  <c r="I332" i="1"/>
  <c r="I328" i="1"/>
  <c r="I324" i="1"/>
  <c r="I320" i="1"/>
  <c r="I316" i="1"/>
  <c r="I312" i="1"/>
  <c r="I308" i="1"/>
  <c r="I304" i="1"/>
  <c r="I300" i="1"/>
  <c r="I296" i="1"/>
  <c r="I292" i="1"/>
  <c r="I288" i="1"/>
  <c r="I284" i="1"/>
  <c r="I280" i="1"/>
  <c r="I276" i="1"/>
  <c r="I272" i="1"/>
  <c r="I268" i="1"/>
  <c r="I264" i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I358" i="1"/>
  <c r="I342" i="1"/>
  <c r="I326" i="1"/>
  <c r="I305" i="1"/>
  <c r="I289" i="1"/>
  <c r="I273" i="1"/>
  <c r="I362" i="1"/>
  <c r="I357" i="1"/>
  <c r="I351" i="1"/>
  <c r="I346" i="1"/>
  <c r="I341" i="1"/>
  <c r="I335" i="1"/>
  <c r="I330" i="1"/>
  <c r="I325" i="1"/>
  <c r="I319" i="1"/>
  <c r="I314" i="1"/>
  <c r="I309" i="1"/>
  <c r="I303" i="1"/>
  <c r="I298" i="1"/>
  <c r="I293" i="1"/>
  <c r="I361" i="1"/>
  <c r="I355" i="1"/>
  <c r="I350" i="1"/>
  <c r="I345" i="1"/>
  <c r="I339" i="1"/>
  <c r="I334" i="1"/>
  <c r="I329" i="1"/>
  <c r="I323" i="1"/>
  <c r="I318" i="1"/>
  <c r="I313" i="1"/>
  <c r="I307" i="1"/>
  <c r="I302" i="1"/>
  <c r="I297" i="1"/>
  <c r="I291" i="1"/>
  <c r="I286" i="1"/>
  <c r="I359" i="1"/>
  <c r="I354" i="1"/>
  <c r="I349" i="1"/>
  <c r="I343" i="1"/>
  <c r="I338" i="1"/>
  <c r="I333" i="1"/>
  <c r="I327" i="1"/>
  <c r="I322" i="1"/>
  <c r="I317" i="1"/>
  <c r="I311" i="1"/>
  <c r="I306" i="1"/>
  <c r="I301" i="1"/>
  <c r="I295" i="1"/>
  <c r="I290" i="1"/>
  <c r="I285" i="1"/>
  <c r="I279" i="1"/>
  <c r="I274" i="1"/>
  <c r="I269" i="1"/>
  <c r="I363" i="1"/>
  <c r="I353" i="1"/>
  <c r="I347" i="1"/>
  <c r="I337" i="1"/>
  <c r="I331" i="1"/>
  <c r="I321" i="1"/>
  <c r="I315" i="1"/>
  <c r="I310" i="1"/>
  <c r="I299" i="1"/>
  <c r="I294" i="1"/>
  <c r="I283" i="1"/>
  <c r="I278" i="1"/>
  <c r="I267" i="1"/>
  <c r="I287" i="1"/>
  <c r="I275" i="1"/>
  <c r="I265" i="1"/>
  <c r="I282" i="1"/>
  <c r="I271" i="1"/>
  <c r="I281" i="1"/>
  <c r="I270" i="1"/>
  <c r="I277" i="1"/>
  <c r="I266" i="1"/>
  <c r="O256" i="1"/>
  <c r="O252" i="1"/>
  <c r="O248" i="1"/>
  <c r="O244" i="1"/>
  <c r="O240" i="1"/>
  <c r="O236" i="1"/>
  <c r="O232" i="1"/>
  <c r="O228" i="1"/>
  <c r="O224" i="1"/>
  <c r="O220" i="1"/>
  <c r="O216" i="1"/>
  <c r="O212" i="1"/>
  <c r="O208" i="1"/>
  <c r="O204" i="1"/>
  <c r="O200" i="1"/>
  <c r="O196" i="1"/>
  <c r="O192" i="1"/>
  <c r="O188" i="1"/>
  <c r="O184" i="1"/>
  <c r="O180" i="1"/>
  <c r="O176" i="1"/>
  <c r="O172" i="1"/>
  <c r="O168" i="1"/>
  <c r="O164" i="1"/>
  <c r="O160" i="1"/>
  <c r="I160" i="1"/>
  <c r="I164" i="1"/>
  <c r="I168" i="1"/>
  <c r="I172" i="1"/>
  <c r="I176" i="1"/>
  <c r="I180" i="1"/>
  <c r="I184" i="1"/>
  <c r="I188" i="1"/>
  <c r="I192" i="1"/>
  <c r="I196" i="1"/>
  <c r="I200" i="1"/>
  <c r="I204" i="1"/>
  <c r="I208" i="1"/>
  <c r="I212" i="1"/>
  <c r="I216" i="1"/>
  <c r="I220" i="1"/>
  <c r="I224" i="1"/>
  <c r="I228" i="1"/>
  <c r="I232" i="1"/>
  <c r="I236" i="1"/>
  <c r="I240" i="1"/>
  <c r="I244" i="1"/>
  <c r="I248" i="1"/>
  <c r="I252" i="1"/>
  <c r="I256" i="1"/>
  <c r="O254" i="1"/>
  <c r="O249" i="1"/>
  <c r="O243" i="1"/>
  <c r="O238" i="1"/>
  <c r="O233" i="1"/>
  <c r="O227" i="1"/>
  <c r="O222" i="1"/>
  <c r="O217" i="1"/>
  <c r="O211" i="1"/>
  <c r="O206" i="1"/>
  <c r="O195" i="1"/>
  <c r="O190" i="1"/>
  <c r="O179" i="1"/>
  <c r="O169" i="1"/>
  <c r="I159" i="1"/>
  <c r="I175" i="1"/>
  <c r="I191" i="1"/>
  <c r="I202" i="1"/>
  <c r="I213" i="1"/>
  <c r="I229" i="1"/>
  <c r="I245" i="1"/>
  <c r="I161" i="1"/>
  <c r="I187" i="1"/>
  <c r="I209" i="1"/>
  <c r="I225" i="1"/>
  <c r="I241" i="1"/>
  <c r="I251" i="1"/>
  <c r="I158" i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I173" i="1"/>
  <c r="I189" i="1"/>
  <c r="I205" i="1"/>
  <c r="I221" i="1"/>
  <c r="I237" i="1"/>
  <c r="I253" i="1"/>
  <c r="O253" i="1"/>
  <c r="O247" i="1"/>
  <c r="O242" i="1"/>
  <c r="O237" i="1"/>
  <c r="O231" i="1"/>
  <c r="O226" i="1"/>
  <c r="O221" i="1"/>
  <c r="O215" i="1"/>
  <c r="O210" i="1"/>
  <c r="O205" i="1"/>
  <c r="O199" i="1"/>
  <c r="O194" i="1"/>
  <c r="O189" i="1"/>
  <c r="O183" i="1"/>
  <c r="O178" i="1"/>
  <c r="O173" i="1"/>
  <c r="O162" i="1"/>
  <c r="I166" i="1"/>
  <c r="I177" i="1"/>
  <c r="I193" i="1"/>
  <c r="I214" i="1"/>
  <c r="I235" i="1"/>
  <c r="I257" i="1"/>
  <c r="I215" i="1"/>
  <c r="I242" i="1"/>
  <c r="O257" i="1"/>
  <c r="O251" i="1"/>
  <c r="O246" i="1"/>
  <c r="O241" i="1"/>
  <c r="O235" i="1"/>
  <c r="O230" i="1"/>
  <c r="O225" i="1"/>
  <c r="O219" i="1"/>
  <c r="O214" i="1"/>
  <c r="O209" i="1"/>
  <c r="O203" i="1"/>
  <c r="O198" i="1"/>
  <c r="O193" i="1"/>
  <c r="O187" i="1"/>
  <c r="O182" i="1"/>
  <c r="O177" i="1"/>
  <c r="O171" i="1"/>
  <c r="O166" i="1"/>
  <c r="O161" i="1"/>
  <c r="I162" i="1"/>
  <c r="I167" i="1"/>
  <c r="I183" i="1"/>
  <c r="I199" i="1"/>
  <c r="I226" i="1"/>
  <c r="O255" i="1"/>
  <c r="O250" i="1"/>
  <c r="O245" i="1"/>
  <c r="O239" i="1"/>
  <c r="O234" i="1"/>
  <c r="O229" i="1"/>
  <c r="O223" i="1"/>
  <c r="O218" i="1"/>
  <c r="O213" i="1"/>
  <c r="O207" i="1"/>
  <c r="O202" i="1"/>
  <c r="O197" i="1"/>
  <c r="O191" i="1"/>
  <c r="O186" i="1"/>
  <c r="O181" i="1"/>
  <c r="O175" i="1"/>
  <c r="O170" i="1"/>
  <c r="O165" i="1"/>
  <c r="O159" i="1"/>
  <c r="I163" i="1"/>
  <c r="I169" i="1"/>
  <c r="I174" i="1"/>
  <c r="I179" i="1"/>
  <c r="I185" i="1"/>
  <c r="I190" i="1"/>
  <c r="I195" i="1"/>
  <c r="I201" i="1"/>
  <c r="I206" i="1"/>
  <c r="I211" i="1"/>
  <c r="I217" i="1"/>
  <c r="I222" i="1"/>
  <c r="I227" i="1"/>
  <c r="I233" i="1"/>
  <c r="I238" i="1"/>
  <c r="I243" i="1"/>
  <c r="I249" i="1"/>
  <c r="I254" i="1"/>
  <c r="O201" i="1"/>
  <c r="O185" i="1"/>
  <c r="O174" i="1"/>
  <c r="O163" i="1"/>
  <c r="O158" i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I165" i="1"/>
  <c r="I170" i="1"/>
  <c r="I181" i="1"/>
  <c r="I186" i="1"/>
  <c r="I197" i="1"/>
  <c r="I207" i="1"/>
  <c r="I218" i="1"/>
  <c r="I223" i="1"/>
  <c r="I234" i="1"/>
  <c r="I239" i="1"/>
  <c r="I250" i="1"/>
  <c r="I255" i="1"/>
  <c r="O167" i="1"/>
  <c r="I171" i="1"/>
  <c r="I182" i="1"/>
  <c r="I198" i="1"/>
  <c r="I203" i="1"/>
  <c r="I219" i="1"/>
  <c r="I230" i="1"/>
  <c r="I246" i="1"/>
  <c r="I178" i="1"/>
  <c r="I194" i="1"/>
  <c r="I210" i="1"/>
  <c r="I231" i="1"/>
  <c r="I247" i="1"/>
  <c r="E266" i="1"/>
  <c r="E270" i="1"/>
  <c r="E274" i="1"/>
  <c r="E278" i="1"/>
  <c r="E282" i="1"/>
  <c r="E286" i="1"/>
  <c r="E290" i="1"/>
  <c r="E294" i="1"/>
  <c r="E298" i="1"/>
  <c r="E302" i="1"/>
  <c r="E306" i="1"/>
  <c r="E310" i="1"/>
  <c r="E314" i="1"/>
  <c r="E318" i="1"/>
  <c r="E322" i="1"/>
  <c r="E326" i="1"/>
  <c r="E330" i="1"/>
  <c r="E334" i="1"/>
  <c r="E338" i="1"/>
  <c r="E342" i="1"/>
  <c r="E346" i="1"/>
  <c r="E350" i="1"/>
  <c r="E354" i="1"/>
  <c r="E358" i="1"/>
  <c r="E362" i="1"/>
  <c r="C266" i="1"/>
  <c r="C270" i="1"/>
  <c r="C274" i="1"/>
  <c r="C278" i="1"/>
  <c r="C282" i="1"/>
  <c r="C286" i="1"/>
  <c r="C290" i="1"/>
  <c r="C294" i="1"/>
  <c r="C298" i="1"/>
  <c r="E267" i="1"/>
  <c r="E271" i="1"/>
  <c r="E275" i="1"/>
  <c r="E279" i="1"/>
  <c r="E283" i="1"/>
  <c r="E287" i="1"/>
  <c r="E291" i="1"/>
  <c r="E295" i="1"/>
  <c r="E299" i="1"/>
  <c r="E303" i="1"/>
  <c r="E307" i="1"/>
  <c r="E311" i="1"/>
  <c r="E315" i="1"/>
  <c r="E319" i="1"/>
  <c r="E323" i="1"/>
  <c r="E327" i="1"/>
  <c r="E331" i="1"/>
  <c r="E335" i="1"/>
  <c r="E339" i="1"/>
  <c r="E343" i="1"/>
  <c r="E347" i="1"/>
  <c r="E351" i="1"/>
  <c r="E355" i="1"/>
  <c r="E359" i="1"/>
  <c r="E363" i="1"/>
  <c r="C267" i="1"/>
  <c r="C271" i="1"/>
  <c r="C275" i="1"/>
  <c r="C279" i="1"/>
  <c r="C283" i="1"/>
  <c r="C287" i="1"/>
  <c r="C291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20" i="1"/>
  <c r="E324" i="1"/>
  <c r="E328" i="1"/>
  <c r="E332" i="1"/>
  <c r="E336" i="1"/>
  <c r="E340" i="1"/>
  <c r="E344" i="1"/>
  <c r="E348" i="1"/>
  <c r="E352" i="1"/>
  <c r="E356" i="1"/>
  <c r="E360" i="1"/>
  <c r="E264" i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C268" i="1"/>
  <c r="C272" i="1"/>
  <c r="C276" i="1"/>
  <c r="C280" i="1"/>
  <c r="C284" i="1"/>
  <c r="C288" i="1"/>
  <c r="C292" i="1"/>
  <c r="C296" i="1"/>
  <c r="C300" i="1"/>
  <c r="C304" i="1"/>
  <c r="C308" i="1"/>
  <c r="C312" i="1"/>
  <c r="C316" i="1"/>
  <c r="C320" i="1"/>
  <c r="C324" i="1"/>
  <c r="C328" i="1"/>
  <c r="C332" i="1"/>
  <c r="C336" i="1"/>
  <c r="C340" i="1"/>
  <c r="C344" i="1"/>
  <c r="C348" i="1"/>
  <c r="C352" i="1"/>
  <c r="C356" i="1"/>
  <c r="C360" i="1"/>
  <c r="C264" i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K162" i="1"/>
  <c r="K166" i="1"/>
  <c r="K170" i="1"/>
  <c r="K174" i="1"/>
  <c r="K178" i="1"/>
  <c r="K182" i="1"/>
  <c r="K186" i="1"/>
  <c r="K190" i="1"/>
  <c r="K194" i="1"/>
  <c r="K198" i="1"/>
  <c r="K202" i="1"/>
  <c r="K206" i="1"/>
  <c r="K210" i="1"/>
  <c r="K214" i="1"/>
  <c r="K218" i="1"/>
  <c r="K222" i="1"/>
  <c r="K226" i="1"/>
  <c r="K230" i="1"/>
  <c r="K234" i="1"/>
  <c r="K238" i="1"/>
  <c r="K242" i="1"/>
  <c r="K246" i="1"/>
  <c r="K250" i="1"/>
  <c r="E265" i="1"/>
  <c r="E269" i="1"/>
  <c r="E273" i="1"/>
  <c r="E277" i="1"/>
  <c r="E281" i="1"/>
  <c r="E285" i="1"/>
  <c r="E289" i="1"/>
  <c r="E293" i="1"/>
  <c r="E297" i="1"/>
  <c r="E301" i="1"/>
  <c r="E305" i="1"/>
  <c r="E309" i="1"/>
  <c r="E313" i="1"/>
  <c r="E317" i="1"/>
  <c r="E321" i="1"/>
  <c r="E325" i="1"/>
  <c r="E329" i="1"/>
  <c r="E333" i="1"/>
  <c r="E337" i="1"/>
  <c r="E341" i="1"/>
  <c r="E345" i="1"/>
  <c r="E349" i="1"/>
  <c r="E353" i="1"/>
  <c r="E357" i="1"/>
  <c r="E361" i="1"/>
  <c r="C265" i="1"/>
  <c r="C269" i="1"/>
  <c r="C273" i="1"/>
  <c r="C277" i="1"/>
  <c r="C281" i="1"/>
  <c r="C285" i="1"/>
  <c r="C289" i="1"/>
  <c r="C293" i="1"/>
  <c r="C297" i="1"/>
  <c r="C301" i="1"/>
  <c r="C305" i="1"/>
  <c r="C309" i="1"/>
  <c r="C313" i="1"/>
  <c r="C317" i="1"/>
  <c r="C321" i="1"/>
  <c r="C325" i="1"/>
  <c r="C329" i="1"/>
  <c r="C333" i="1"/>
  <c r="C337" i="1"/>
  <c r="C341" i="1"/>
  <c r="C345" i="1"/>
  <c r="C349" i="1"/>
  <c r="C353" i="1"/>
  <c r="C357" i="1"/>
  <c r="C361" i="1"/>
  <c r="K159" i="1"/>
  <c r="K163" i="1"/>
  <c r="K167" i="1"/>
  <c r="K171" i="1"/>
  <c r="K175" i="1"/>
  <c r="K179" i="1"/>
  <c r="K183" i="1"/>
  <c r="K187" i="1"/>
  <c r="K191" i="1"/>
  <c r="K195" i="1"/>
  <c r="K199" i="1"/>
  <c r="K203" i="1"/>
  <c r="K207" i="1"/>
  <c r="K211" i="1"/>
  <c r="K215" i="1"/>
  <c r="K219" i="1"/>
  <c r="K223" i="1"/>
  <c r="K227" i="1"/>
  <c r="K231" i="1"/>
  <c r="K235" i="1"/>
  <c r="C331" i="1"/>
  <c r="K181" i="1"/>
  <c r="C302" i="1"/>
  <c r="C310" i="1"/>
  <c r="C318" i="1"/>
  <c r="C326" i="1"/>
  <c r="C334" i="1"/>
  <c r="C342" i="1"/>
  <c r="C350" i="1"/>
  <c r="C358" i="1"/>
  <c r="K160" i="1"/>
  <c r="K168" i="1"/>
  <c r="K176" i="1"/>
  <c r="K184" i="1"/>
  <c r="K192" i="1"/>
  <c r="K200" i="1"/>
  <c r="K208" i="1"/>
  <c r="K216" i="1"/>
  <c r="K224" i="1"/>
  <c r="K232" i="1"/>
  <c r="K239" i="1"/>
  <c r="K244" i="1"/>
  <c r="K249" i="1"/>
  <c r="K254" i="1"/>
  <c r="K158" i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J177" i="1" s="1"/>
  <c r="J178" i="1" s="1"/>
  <c r="J179" i="1" s="1"/>
  <c r="J180" i="1" s="1"/>
  <c r="J181" i="1" s="1"/>
  <c r="J182" i="1" s="1"/>
  <c r="J183" i="1" s="1"/>
  <c r="J184" i="1" s="1"/>
  <c r="J185" i="1" s="1"/>
  <c r="J186" i="1" s="1"/>
  <c r="J187" i="1" s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J214" i="1" s="1"/>
  <c r="J215" i="1" s="1"/>
  <c r="J216" i="1" s="1"/>
  <c r="J217" i="1" s="1"/>
  <c r="J218" i="1" s="1"/>
  <c r="J219" i="1" s="1"/>
  <c r="J220" i="1" s="1"/>
  <c r="J221" i="1" s="1"/>
  <c r="J222" i="1" s="1"/>
  <c r="J223" i="1" s="1"/>
  <c r="J224" i="1" s="1"/>
  <c r="J225" i="1" s="1"/>
  <c r="J226" i="1" s="1"/>
  <c r="J227" i="1" s="1"/>
  <c r="J228" i="1" s="1"/>
  <c r="J229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C306" i="1"/>
  <c r="C322" i="1"/>
  <c r="C338" i="1"/>
  <c r="C354" i="1"/>
  <c r="K172" i="1"/>
  <c r="K228" i="1"/>
  <c r="K247" i="1"/>
  <c r="K256" i="1"/>
  <c r="C299" i="1"/>
  <c r="C315" i="1"/>
  <c r="C339" i="1"/>
  <c r="C355" i="1"/>
  <c r="K189" i="1"/>
  <c r="K237" i="1"/>
  <c r="K253" i="1"/>
  <c r="C303" i="1"/>
  <c r="C311" i="1"/>
  <c r="C319" i="1"/>
  <c r="C327" i="1"/>
  <c r="C335" i="1"/>
  <c r="C343" i="1"/>
  <c r="C351" i="1"/>
  <c r="C359" i="1"/>
  <c r="K161" i="1"/>
  <c r="K169" i="1"/>
  <c r="K177" i="1"/>
  <c r="K185" i="1"/>
  <c r="K193" i="1"/>
  <c r="K201" i="1"/>
  <c r="K209" i="1"/>
  <c r="K217" i="1"/>
  <c r="K225" i="1"/>
  <c r="K233" i="1"/>
  <c r="K240" i="1"/>
  <c r="K245" i="1"/>
  <c r="K251" i="1"/>
  <c r="K255" i="1"/>
  <c r="C295" i="1"/>
  <c r="C314" i="1"/>
  <c r="C330" i="1"/>
  <c r="C346" i="1"/>
  <c r="C362" i="1"/>
  <c r="K164" i="1"/>
  <c r="K180" i="1"/>
  <c r="K188" i="1"/>
  <c r="K196" i="1"/>
  <c r="K204" i="1"/>
  <c r="K212" i="1"/>
  <c r="K220" i="1"/>
  <c r="K236" i="1"/>
  <c r="K241" i="1"/>
  <c r="K252" i="1"/>
  <c r="C307" i="1"/>
  <c r="C323" i="1"/>
  <c r="C347" i="1"/>
  <c r="C363" i="1"/>
  <c r="K165" i="1"/>
  <c r="K173" i="1"/>
  <c r="K197" i="1"/>
  <c r="K205" i="1"/>
  <c r="K213" i="1"/>
  <c r="K221" i="1"/>
  <c r="K229" i="1"/>
  <c r="K243" i="1"/>
  <c r="K248" i="1"/>
  <c r="K257" i="1"/>
  <c r="W53" i="1"/>
  <c r="W69" i="1"/>
  <c r="W85" i="1"/>
  <c r="W101" i="1"/>
  <c r="W117" i="1"/>
  <c r="W133" i="1"/>
  <c r="W149" i="1"/>
  <c r="W62" i="1"/>
  <c r="W78" i="1"/>
  <c r="W94" i="1"/>
  <c r="W110" i="1"/>
  <c r="W126" i="1"/>
  <c r="W142" i="1"/>
  <c r="W52" i="1"/>
  <c r="V52" i="1" s="1"/>
  <c r="V53" i="1" s="1"/>
  <c r="V54" i="1" s="1"/>
  <c r="V55" i="1" s="1"/>
  <c r="V56" i="1" s="1"/>
  <c r="V57" i="1" s="1"/>
  <c r="V58" i="1" s="1"/>
  <c r="V59" i="1" s="1"/>
  <c r="V60" i="1" s="1"/>
  <c r="V61" i="1" s="1"/>
  <c r="V62" i="1" s="1"/>
  <c r="V63" i="1" s="1"/>
  <c r="V64" i="1" s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V105" i="1" s="1"/>
  <c r="V106" i="1" s="1"/>
  <c r="V107" i="1" s="1"/>
  <c r="V108" i="1" s="1"/>
  <c r="V109" i="1" s="1"/>
  <c r="V110" i="1" s="1"/>
  <c r="V111" i="1" s="1"/>
  <c r="V112" i="1" s="1"/>
  <c r="V113" i="1" s="1"/>
  <c r="V114" i="1" s="1"/>
  <c r="V115" i="1" s="1"/>
  <c r="V116" i="1" s="1"/>
  <c r="V117" i="1" s="1"/>
  <c r="V118" i="1" s="1"/>
  <c r="V119" i="1" s="1"/>
  <c r="V120" i="1" s="1"/>
  <c r="V121" i="1" s="1"/>
  <c r="V122" i="1" s="1"/>
  <c r="V123" i="1" s="1"/>
  <c r="V124" i="1" s="1"/>
  <c r="V125" i="1" s="1"/>
  <c r="V126" i="1" s="1"/>
  <c r="V127" i="1" s="1"/>
  <c r="V128" i="1" s="1"/>
  <c r="V129" i="1" s="1"/>
  <c r="V130" i="1" s="1"/>
  <c r="V131" i="1" s="1"/>
  <c r="V132" i="1" s="1"/>
  <c r="V133" i="1" s="1"/>
  <c r="V134" i="1" s="1"/>
  <c r="V135" i="1" s="1"/>
  <c r="V136" i="1" s="1"/>
  <c r="V137" i="1" s="1"/>
  <c r="V138" i="1" s="1"/>
  <c r="V139" i="1" s="1"/>
  <c r="V140" i="1" s="1"/>
  <c r="V141" i="1" s="1"/>
  <c r="V142" i="1" s="1"/>
  <c r="V143" i="1" s="1"/>
  <c r="V144" i="1" s="1"/>
  <c r="V145" i="1" s="1"/>
  <c r="V146" i="1" s="1"/>
  <c r="V147" i="1" s="1"/>
  <c r="V148" i="1" s="1"/>
  <c r="V149" i="1" s="1"/>
  <c r="V150" i="1" s="1"/>
  <c r="V151" i="1" s="1"/>
  <c r="W67" i="1"/>
  <c r="W83" i="1"/>
  <c r="W99" i="1"/>
  <c r="W115" i="1"/>
  <c r="W131" i="1"/>
  <c r="W147" i="1"/>
  <c r="W60" i="1"/>
  <c r="W76" i="1"/>
  <c r="W92" i="1"/>
  <c r="W108" i="1"/>
  <c r="W124" i="1"/>
  <c r="W140" i="1"/>
  <c r="W65" i="1"/>
  <c r="W113" i="1"/>
  <c r="W90" i="1"/>
  <c r="W79" i="1"/>
  <c r="W127" i="1"/>
  <c r="W56" i="1"/>
  <c r="W104" i="1"/>
  <c r="W57" i="1"/>
  <c r="W73" i="1"/>
  <c r="W89" i="1"/>
  <c r="W105" i="1"/>
  <c r="W121" i="1"/>
  <c r="W137" i="1"/>
  <c r="W66" i="1"/>
  <c r="W82" i="1"/>
  <c r="W98" i="1"/>
  <c r="W114" i="1"/>
  <c r="W130" i="1"/>
  <c r="W146" i="1"/>
  <c r="W55" i="1"/>
  <c r="W71" i="1"/>
  <c r="W87" i="1"/>
  <c r="W103" i="1"/>
  <c r="W119" i="1"/>
  <c r="W135" i="1"/>
  <c r="W151" i="1"/>
  <c r="W64" i="1"/>
  <c r="W80" i="1"/>
  <c r="W96" i="1"/>
  <c r="W112" i="1"/>
  <c r="W128" i="1"/>
  <c r="W144" i="1"/>
  <c r="W81" i="1"/>
  <c r="W97" i="1"/>
  <c r="W145" i="1"/>
  <c r="W74" i="1"/>
  <c r="W138" i="1"/>
  <c r="W63" i="1"/>
  <c r="W111" i="1"/>
  <c r="W88" i="1"/>
  <c r="W136" i="1"/>
  <c r="W61" i="1"/>
  <c r="W77" i="1"/>
  <c r="W93" i="1"/>
  <c r="W109" i="1"/>
  <c r="W125" i="1"/>
  <c r="W141" i="1"/>
  <c r="W54" i="1"/>
  <c r="W70" i="1"/>
  <c r="W86" i="1"/>
  <c r="W102" i="1"/>
  <c r="W118" i="1"/>
  <c r="W134" i="1"/>
  <c r="W150" i="1"/>
  <c r="W59" i="1"/>
  <c r="W75" i="1"/>
  <c r="W91" i="1"/>
  <c r="W107" i="1"/>
  <c r="W123" i="1"/>
  <c r="W139" i="1"/>
  <c r="W68" i="1"/>
  <c r="W84" i="1"/>
  <c r="W100" i="1"/>
  <c r="W116" i="1"/>
  <c r="W132" i="1"/>
  <c r="W148" i="1"/>
  <c r="F24" i="1"/>
  <c r="W129" i="1"/>
  <c r="W58" i="1"/>
  <c r="W122" i="1"/>
  <c r="W95" i="1"/>
  <c r="W143" i="1"/>
  <c r="W72" i="1"/>
  <c r="W120" i="1"/>
  <c r="W106" i="1"/>
  <c r="Q57" i="1"/>
  <c r="Q73" i="1"/>
  <c r="Q89" i="1"/>
  <c r="Q105" i="1"/>
  <c r="Q121" i="1"/>
  <c r="Q137" i="1"/>
  <c r="Q88" i="1"/>
  <c r="Q136" i="1"/>
  <c r="Q58" i="1"/>
  <c r="Q74" i="1"/>
  <c r="Q90" i="1"/>
  <c r="Q106" i="1"/>
  <c r="Q122" i="1"/>
  <c r="Q138" i="1"/>
  <c r="Q96" i="1"/>
  <c r="Q144" i="1"/>
  <c r="Q59" i="1"/>
  <c r="Q75" i="1"/>
  <c r="Q91" i="1"/>
  <c r="Q107" i="1"/>
  <c r="Q123" i="1"/>
  <c r="Q139" i="1"/>
  <c r="Q92" i="1"/>
  <c r="Q140" i="1"/>
  <c r="Q61" i="1"/>
  <c r="Q77" i="1"/>
  <c r="Q93" i="1"/>
  <c r="Q109" i="1"/>
  <c r="Q125" i="1"/>
  <c r="Q141" i="1"/>
  <c r="Q56" i="1"/>
  <c r="Q100" i="1"/>
  <c r="Q148" i="1"/>
  <c r="Q62" i="1"/>
  <c r="Q78" i="1"/>
  <c r="Q94" i="1"/>
  <c r="Q110" i="1"/>
  <c r="Q126" i="1"/>
  <c r="Q142" i="1"/>
  <c r="Q52" i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Q108" i="1"/>
  <c r="Q63" i="1"/>
  <c r="Q79" i="1"/>
  <c r="Q95" i="1"/>
  <c r="Q111" i="1"/>
  <c r="Q127" i="1"/>
  <c r="Q143" i="1"/>
  <c r="Q60" i="1"/>
  <c r="Q104" i="1"/>
  <c r="F23" i="1"/>
  <c r="Q65" i="1"/>
  <c r="Q81" i="1"/>
  <c r="Q97" i="1"/>
  <c r="Q113" i="1"/>
  <c r="Q129" i="1"/>
  <c r="Q145" i="1"/>
  <c r="Q64" i="1"/>
  <c r="Q112" i="1"/>
  <c r="Q66" i="1"/>
  <c r="Q82" i="1"/>
  <c r="Q98" i="1"/>
  <c r="Q114" i="1"/>
  <c r="Q130" i="1"/>
  <c r="Q146" i="1"/>
  <c r="Q72" i="1"/>
  <c r="Q120" i="1"/>
  <c r="Q67" i="1"/>
  <c r="Q83" i="1"/>
  <c r="Q99" i="1"/>
  <c r="Q115" i="1"/>
  <c r="Q131" i="1"/>
  <c r="Q147" i="1"/>
  <c r="Q68" i="1"/>
  <c r="Q116" i="1"/>
  <c r="Q53" i="1"/>
  <c r="Q69" i="1"/>
  <c r="Q85" i="1"/>
  <c r="Q101" i="1"/>
  <c r="Q117" i="1"/>
  <c r="Q133" i="1"/>
  <c r="Q149" i="1"/>
  <c r="Q76" i="1"/>
  <c r="Q124" i="1"/>
  <c r="Q54" i="1"/>
  <c r="Q70" i="1"/>
  <c r="Q86" i="1"/>
  <c r="Q102" i="1"/>
  <c r="Q118" i="1"/>
  <c r="Q134" i="1"/>
  <c r="Q150" i="1"/>
  <c r="Q84" i="1"/>
  <c r="Q132" i="1"/>
  <c r="Q55" i="1"/>
  <c r="Q71" i="1"/>
  <c r="Q87" i="1"/>
  <c r="Q103" i="1"/>
  <c r="Q119" i="1"/>
  <c r="Q135" i="1"/>
  <c r="Q151" i="1"/>
  <c r="Q80" i="1"/>
  <c r="Q128" i="1"/>
  <c r="U53" i="1"/>
  <c r="U57" i="1"/>
  <c r="U61" i="1"/>
  <c r="U65" i="1"/>
  <c r="U69" i="1"/>
  <c r="U73" i="1"/>
  <c r="U77" i="1"/>
  <c r="U81" i="1"/>
  <c r="U85" i="1"/>
  <c r="U89" i="1"/>
  <c r="U93" i="1"/>
  <c r="U97" i="1"/>
  <c r="U101" i="1"/>
  <c r="U105" i="1"/>
  <c r="U109" i="1"/>
  <c r="U113" i="1"/>
  <c r="U117" i="1"/>
  <c r="U121" i="1"/>
  <c r="U125" i="1"/>
  <c r="U129" i="1"/>
  <c r="U133" i="1"/>
  <c r="U137" i="1"/>
  <c r="U141" i="1"/>
  <c r="U145" i="1"/>
  <c r="U149" i="1"/>
  <c r="U54" i="1"/>
  <c r="U58" i="1"/>
  <c r="U62" i="1"/>
  <c r="U66" i="1"/>
  <c r="U70" i="1"/>
  <c r="U74" i="1"/>
  <c r="U78" i="1"/>
  <c r="U82" i="1"/>
  <c r="U86" i="1"/>
  <c r="U90" i="1"/>
  <c r="U94" i="1"/>
  <c r="U98" i="1"/>
  <c r="U102" i="1"/>
  <c r="U106" i="1"/>
  <c r="U110" i="1"/>
  <c r="U114" i="1"/>
  <c r="U118" i="1"/>
  <c r="U122" i="1"/>
  <c r="U126" i="1"/>
  <c r="U130" i="1"/>
  <c r="U134" i="1"/>
  <c r="U138" i="1"/>
  <c r="U142" i="1"/>
  <c r="U146" i="1"/>
  <c r="U55" i="1"/>
  <c r="U59" i="1"/>
  <c r="U63" i="1"/>
  <c r="U67" i="1"/>
  <c r="U71" i="1"/>
  <c r="U75" i="1"/>
  <c r="U79" i="1"/>
  <c r="U83" i="1"/>
  <c r="U87" i="1"/>
  <c r="U91" i="1"/>
  <c r="U95" i="1"/>
  <c r="U99" i="1"/>
  <c r="U103" i="1"/>
  <c r="U107" i="1"/>
  <c r="U111" i="1"/>
  <c r="U115" i="1"/>
  <c r="U119" i="1"/>
  <c r="U123" i="1"/>
  <c r="U127" i="1"/>
  <c r="U131" i="1"/>
  <c r="U135" i="1"/>
  <c r="U139" i="1"/>
  <c r="U143" i="1"/>
  <c r="U147" i="1"/>
  <c r="U151" i="1"/>
  <c r="U56" i="1"/>
  <c r="U60" i="1"/>
  <c r="U64" i="1"/>
  <c r="U68" i="1"/>
  <c r="U72" i="1"/>
  <c r="U76" i="1"/>
  <c r="U80" i="1"/>
  <c r="U84" i="1"/>
  <c r="U88" i="1"/>
  <c r="U92" i="1"/>
  <c r="U96" i="1"/>
  <c r="U100" i="1"/>
  <c r="U104" i="1"/>
  <c r="U108" i="1"/>
  <c r="U112" i="1"/>
  <c r="U116" i="1"/>
  <c r="U120" i="1"/>
  <c r="U124" i="1"/>
  <c r="U128" i="1"/>
  <c r="U132" i="1"/>
  <c r="U136" i="1"/>
  <c r="U140" i="1"/>
  <c r="U144" i="1"/>
  <c r="U148" i="1"/>
  <c r="U52" i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U150" i="1"/>
  <c r="E159" i="1"/>
  <c r="E163" i="1"/>
  <c r="E167" i="1"/>
  <c r="E171" i="1"/>
  <c r="E175" i="1"/>
  <c r="E179" i="1"/>
  <c r="E183" i="1"/>
  <c r="E187" i="1"/>
  <c r="E191" i="1"/>
  <c r="E195" i="1"/>
  <c r="E199" i="1"/>
  <c r="E203" i="1"/>
  <c r="E211" i="1"/>
  <c r="E215" i="1"/>
  <c r="E219" i="1"/>
  <c r="E223" i="1"/>
  <c r="E235" i="1"/>
  <c r="E247" i="1"/>
  <c r="C167" i="1"/>
  <c r="C183" i="1"/>
  <c r="C195" i="1"/>
  <c r="C207" i="1"/>
  <c r="C219" i="1"/>
  <c r="C231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C160" i="1"/>
  <c r="C164" i="1"/>
  <c r="C168" i="1"/>
  <c r="C172" i="1"/>
  <c r="C176" i="1"/>
  <c r="C180" i="1"/>
  <c r="C184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249" i="1"/>
  <c r="E253" i="1"/>
  <c r="E257" i="1"/>
  <c r="C161" i="1"/>
  <c r="C165" i="1"/>
  <c r="C169" i="1"/>
  <c r="C173" i="1"/>
  <c r="C177" i="1"/>
  <c r="C181" i="1"/>
  <c r="C185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26" i="1"/>
  <c r="E230" i="1"/>
  <c r="E234" i="1"/>
  <c r="E238" i="1"/>
  <c r="E242" i="1"/>
  <c r="E246" i="1"/>
  <c r="E250" i="1"/>
  <c r="E254" i="1"/>
  <c r="E158" i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C162" i="1"/>
  <c r="C166" i="1"/>
  <c r="C170" i="1"/>
  <c r="C174" i="1"/>
  <c r="C178" i="1"/>
  <c r="C182" i="1"/>
  <c r="C186" i="1"/>
  <c r="C190" i="1"/>
  <c r="C194" i="1"/>
  <c r="C198" i="1"/>
  <c r="C202" i="1"/>
  <c r="C206" i="1"/>
  <c r="C210" i="1"/>
  <c r="C214" i="1"/>
  <c r="C218" i="1"/>
  <c r="C222" i="1"/>
  <c r="C226" i="1"/>
  <c r="C230" i="1"/>
  <c r="C234" i="1"/>
  <c r="C238" i="1"/>
  <c r="C242" i="1"/>
  <c r="C246" i="1"/>
  <c r="C250" i="1"/>
  <c r="C254" i="1"/>
  <c r="C158" i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E207" i="1"/>
  <c r="E227" i="1"/>
  <c r="E231" i="1"/>
  <c r="E239" i="1"/>
  <c r="E243" i="1"/>
  <c r="E251" i="1"/>
  <c r="E255" i="1"/>
  <c r="C159" i="1"/>
  <c r="C163" i="1"/>
  <c r="C171" i="1"/>
  <c r="C175" i="1"/>
  <c r="C179" i="1"/>
  <c r="C187" i="1"/>
  <c r="C191" i="1"/>
  <c r="C199" i="1"/>
  <c r="C203" i="1"/>
  <c r="C211" i="1"/>
  <c r="C215" i="1"/>
  <c r="C223" i="1"/>
  <c r="C227" i="1"/>
  <c r="C235" i="1"/>
  <c r="C193" i="1"/>
  <c r="C201" i="1"/>
  <c r="C209" i="1"/>
  <c r="C217" i="1"/>
  <c r="C225" i="1"/>
  <c r="C233" i="1"/>
  <c r="C240" i="1"/>
  <c r="C245" i="1"/>
  <c r="C251" i="1"/>
  <c r="C256" i="1"/>
  <c r="C188" i="1"/>
  <c r="C196" i="1"/>
  <c r="C204" i="1"/>
  <c r="C212" i="1"/>
  <c r="C220" i="1"/>
  <c r="C228" i="1"/>
  <c r="C236" i="1"/>
  <c r="C241" i="1"/>
  <c r="C247" i="1"/>
  <c r="C252" i="1"/>
  <c r="C257" i="1"/>
  <c r="C189" i="1"/>
  <c r="C197" i="1"/>
  <c r="C205" i="1"/>
  <c r="C213" i="1"/>
  <c r="C221" i="1"/>
  <c r="C229" i="1"/>
  <c r="C237" i="1"/>
  <c r="C243" i="1"/>
  <c r="C248" i="1"/>
  <c r="C253" i="1"/>
  <c r="C192" i="1"/>
  <c r="C200" i="1"/>
  <c r="C208" i="1"/>
  <c r="C216" i="1"/>
  <c r="C224" i="1"/>
  <c r="C232" i="1"/>
  <c r="C239" i="1"/>
  <c r="C244" i="1"/>
  <c r="C249" i="1"/>
  <c r="C255" i="1"/>
  <c r="K54" i="1"/>
  <c r="K67" i="1"/>
  <c r="K83" i="1"/>
  <c r="K99" i="1"/>
  <c r="K115" i="1"/>
  <c r="K131" i="1"/>
  <c r="K147" i="1"/>
  <c r="K60" i="1"/>
  <c r="K76" i="1"/>
  <c r="K92" i="1"/>
  <c r="K108" i="1"/>
  <c r="K124" i="1"/>
  <c r="K140" i="1"/>
  <c r="K57" i="1"/>
  <c r="K73" i="1"/>
  <c r="K66" i="1"/>
  <c r="K110" i="1"/>
  <c r="K142" i="1"/>
  <c r="K70" i="1"/>
  <c r="K113" i="1"/>
  <c r="K145" i="1"/>
  <c r="K58" i="1"/>
  <c r="K106" i="1"/>
  <c r="K138" i="1"/>
  <c r="K93" i="1"/>
  <c r="K125" i="1"/>
  <c r="K117" i="1"/>
  <c r="F22" i="1"/>
  <c r="K55" i="1"/>
  <c r="K71" i="1"/>
  <c r="K87" i="1"/>
  <c r="K103" i="1"/>
  <c r="K119" i="1"/>
  <c r="K135" i="1"/>
  <c r="K151" i="1"/>
  <c r="K64" i="1"/>
  <c r="K80" i="1"/>
  <c r="K96" i="1"/>
  <c r="K112" i="1"/>
  <c r="K128" i="1"/>
  <c r="K144" i="1"/>
  <c r="K61" i="1"/>
  <c r="K77" i="1"/>
  <c r="K82" i="1"/>
  <c r="K118" i="1"/>
  <c r="K150" i="1"/>
  <c r="K86" i="1"/>
  <c r="K121" i="1"/>
  <c r="K74" i="1"/>
  <c r="K114" i="1"/>
  <c r="K146" i="1"/>
  <c r="K52" i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K101" i="1"/>
  <c r="K133" i="1"/>
  <c r="K149" i="1"/>
  <c r="K85" i="1"/>
  <c r="K59" i="1"/>
  <c r="K75" i="1"/>
  <c r="K91" i="1"/>
  <c r="K107" i="1"/>
  <c r="K123" i="1"/>
  <c r="K139" i="1"/>
  <c r="K68" i="1"/>
  <c r="K84" i="1"/>
  <c r="K100" i="1"/>
  <c r="K116" i="1"/>
  <c r="K132" i="1"/>
  <c r="K148" i="1"/>
  <c r="K65" i="1"/>
  <c r="K81" i="1"/>
  <c r="K94" i="1"/>
  <c r="K126" i="1"/>
  <c r="K97" i="1"/>
  <c r="K129" i="1"/>
  <c r="K90" i="1"/>
  <c r="K122" i="1"/>
  <c r="K62" i="1"/>
  <c r="K109" i="1"/>
  <c r="K141" i="1"/>
  <c r="K53" i="1"/>
  <c r="K63" i="1"/>
  <c r="K79" i="1"/>
  <c r="K95" i="1"/>
  <c r="K111" i="1"/>
  <c r="K127" i="1"/>
  <c r="K143" i="1"/>
  <c r="K56" i="1"/>
  <c r="K72" i="1"/>
  <c r="K88" i="1"/>
  <c r="K104" i="1"/>
  <c r="K120" i="1"/>
  <c r="K136" i="1"/>
  <c r="K69" i="1"/>
  <c r="K89" i="1"/>
  <c r="K102" i="1"/>
  <c r="K134" i="1"/>
  <c r="K105" i="1"/>
  <c r="K137" i="1"/>
  <c r="K98" i="1"/>
  <c r="K130" i="1"/>
  <c r="K78" i="1"/>
  <c r="F21" i="1"/>
  <c r="O149" i="1"/>
  <c r="O145" i="1"/>
  <c r="O141" i="1"/>
  <c r="O137" i="1"/>
  <c r="O133" i="1"/>
  <c r="O129" i="1"/>
  <c r="O125" i="1"/>
  <c r="O121" i="1"/>
  <c r="O117" i="1"/>
  <c r="O113" i="1"/>
  <c r="O109" i="1"/>
  <c r="O105" i="1"/>
  <c r="O101" i="1"/>
  <c r="O97" i="1"/>
  <c r="O93" i="1"/>
  <c r="O89" i="1"/>
  <c r="O85" i="1"/>
  <c r="O81" i="1"/>
  <c r="O77" i="1"/>
  <c r="O73" i="1"/>
  <c r="O69" i="1"/>
  <c r="O65" i="1"/>
  <c r="O61" i="1"/>
  <c r="O57" i="1"/>
  <c r="O53" i="1"/>
  <c r="I148" i="1"/>
  <c r="I144" i="1"/>
  <c r="I140" i="1"/>
  <c r="I136" i="1"/>
  <c r="I132" i="1"/>
  <c r="I128" i="1"/>
  <c r="I124" i="1"/>
  <c r="I120" i="1"/>
  <c r="I116" i="1"/>
  <c r="I112" i="1"/>
  <c r="I108" i="1"/>
  <c r="I104" i="1"/>
  <c r="I100" i="1"/>
  <c r="I96" i="1"/>
  <c r="I92" i="1"/>
  <c r="I88" i="1"/>
  <c r="I84" i="1"/>
  <c r="I80" i="1"/>
  <c r="I76" i="1"/>
  <c r="I72" i="1"/>
  <c r="I68" i="1"/>
  <c r="I64" i="1"/>
  <c r="I60" i="1"/>
  <c r="I56" i="1"/>
  <c r="I52" i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E56" i="1"/>
  <c r="O148" i="1"/>
  <c r="O144" i="1"/>
  <c r="O140" i="1"/>
  <c r="O136" i="1"/>
  <c r="O132" i="1"/>
  <c r="O128" i="1"/>
  <c r="O124" i="1"/>
  <c r="O120" i="1"/>
  <c r="O116" i="1"/>
  <c r="O112" i="1"/>
  <c r="O108" i="1"/>
  <c r="O104" i="1"/>
  <c r="O100" i="1"/>
  <c r="O96" i="1"/>
  <c r="O92" i="1"/>
  <c r="O88" i="1"/>
  <c r="O84" i="1"/>
  <c r="O80" i="1"/>
  <c r="O76" i="1"/>
  <c r="O72" i="1"/>
  <c r="O68" i="1"/>
  <c r="O64" i="1"/>
  <c r="O60" i="1"/>
  <c r="O56" i="1"/>
  <c r="O52" i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I151" i="1"/>
  <c r="I147" i="1"/>
  <c r="I143" i="1"/>
  <c r="I139" i="1"/>
  <c r="O151" i="1"/>
  <c r="O147" i="1"/>
  <c r="O143" i="1"/>
  <c r="O139" i="1"/>
  <c r="O135" i="1"/>
  <c r="O131" i="1"/>
  <c r="O127" i="1"/>
  <c r="O123" i="1"/>
  <c r="O119" i="1"/>
  <c r="O115" i="1"/>
  <c r="O111" i="1"/>
  <c r="O107" i="1"/>
  <c r="O103" i="1"/>
  <c r="O99" i="1"/>
  <c r="O95" i="1"/>
  <c r="O91" i="1"/>
  <c r="O87" i="1"/>
  <c r="O83" i="1"/>
  <c r="O79" i="1"/>
  <c r="O75" i="1"/>
  <c r="O71" i="1"/>
  <c r="O67" i="1"/>
  <c r="O63" i="1"/>
  <c r="O59" i="1"/>
  <c r="O55" i="1"/>
  <c r="I150" i="1"/>
  <c r="I146" i="1"/>
  <c r="I142" i="1"/>
  <c r="I138" i="1"/>
  <c r="I134" i="1"/>
  <c r="I130" i="1"/>
  <c r="I126" i="1"/>
  <c r="I122" i="1"/>
  <c r="I118" i="1"/>
  <c r="I114" i="1"/>
  <c r="I110" i="1"/>
  <c r="I106" i="1"/>
  <c r="I102" i="1"/>
  <c r="I98" i="1"/>
  <c r="I94" i="1"/>
  <c r="I90" i="1"/>
  <c r="I86" i="1"/>
  <c r="I82" i="1"/>
  <c r="I78" i="1"/>
  <c r="I74" i="1"/>
  <c r="I70" i="1"/>
  <c r="I66" i="1"/>
  <c r="I62" i="1"/>
  <c r="I58" i="1"/>
  <c r="I54" i="1"/>
  <c r="E54" i="1"/>
  <c r="E58" i="1"/>
  <c r="O150" i="1"/>
  <c r="O146" i="1"/>
  <c r="O142" i="1"/>
  <c r="O138" i="1"/>
  <c r="O134" i="1"/>
  <c r="O130" i="1"/>
  <c r="O126" i="1"/>
  <c r="O122" i="1"/>
  <c r="O118" i="1"/>
  <c r="O114" i="1"/>
  <c r="O110" i="1"/>
  <c r="O106" i="1"/>
  <c r="O102" i="1"/>
  <c r="O98" i="1"/>
  <c r="O94" i="1"/>
  <c r="O90" i="1"/>
  <c r="O86" i="1"/>
  <c r="O82" i="1"/>
  <c r="O78" i="1"/>
  <c r="O74" i="1"/>
  <c r="O70" i="1"/>
  <c r="O66" i="1"/>
  <c r="O62" i="1"/>
  <c r="O58" i="1"/>
  <c r="O54" i="1"/>
  <c r="I149" i="1"/>
  <c r="I145" i="1"/>
  <c r="I141" i="1"/>
  <c r="I137" i="1"/>
  <c r="I133" i="1"/>
  <c r="I129" i="1"/>
  <c r="I125" i="1"/>
  <c r="I121" i="1"/>
  <c r="I117" i="1"/>
  <c r="I113" i="1"/>
  <c r="I109" i="1"/>
  <c r="I105" i="1"/>
  <c r="I101" i="1"/>
  <c r="I97" i="1"/>
  <c r="I93" i="1"/>
  <c r="I89" i="1"/>
  <c r="I85" i="1"/>
  <c r="I81" i="1"/>
  <c r="I77" i="1"/>
  <c r="I73" i="1"/>
  <c r="I69" i="1"/>
  <c r="I65" i="1"/>
  <c r="I61" i="1"/>
  <c r="I57" i="1"/>
  <c r="I53" i="1"/>
  <c r="E55" i="1"/>
  <c r="E59" i="1"/>
  <c r="E63" i="1"/>
  <c r="E67" i="1"/>
  <c r="E71" i="1"/>
  <c r="I131" i="1"/>
  <c r="I115" i="1"/>
  <c r="I99" i="1"/>
  <c r="I83" i="1"/>
  <c r="I67" i="1"/>
  <c r="E57" i="1"/>
  <c r="E64" i="1"/>
  <c r="E74" i="1"/>
  <c r="E82" i="1"/>
  <c r="E90" i="1"/>
  <c r="E98" i="1"/>
  <c r="E106" i="1"/>
  <c r="E118" i="1"/>
  <c r="E130" i="1"/>
  <c r="E138" i="1"/>
  <c r="E150" i="1"/>
  <c r="E52" i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C68" i="1"/>
  <c r="C84" i="1"/>
  <c r="C96" i="1"/>
  <c r="C108" i="1"/>
  <c r="C116" i="1"/>
  <c r="C128" i="1"/>
  <c r="C136" i="1"/>
  <c r="C148" i="1"/>
  <c r="C61" i="1"/>
  <c r="C73" i="1"/>
  <c r="C81" i="1"/>
  <c r="C93" i="1"/>
  <c r="C101" i="1"/>
  <c r="C113" i="1"/>
  <c r="C121" i="1"/>
  <c r="C129" i="1"/>
  <c r="C141" i="1"/>
  <c r="C52" i="1"/>
  <c r="I127" i="1"/>
  <c r="I111" i="1"/>
  <c r="I95" i="1"/>
  <c r="I79" i="1"/>
  <c r="I63" i="1"/>
  <c r="E60" i="1"/>
  <c r="E65" i="1"/>
  <c r="E70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C53" i="1"/>
  <c r="C69" i="1"/>
  <c r="C89" i="1"/>
  <c r="C109" i="1"/>
  <c r="C137" i="1"/>
  <c r="I123" i="1"/>
  <c r="I107" i="1"/>
  <c r="I91" i="1"/>
  <c r="I75" i="1"/>
  <c r="I59" i="1"/>
  <c r="E61" i="1"/>
  <c r="E66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C54" i="1"/>
  <c r="C58" i="1"/>
  <c r="C62" i="1"/>
  <c r="C66" i="1"/>
  <c r="C70" i="1"/>
  <c r="C74" i="1"/>
  <c r="C78" i="1"/>
  <c r="C82" i="1"/>
  <c r="C86" i="1"/>
  <c r="C90" i="1"/>
  <c r="C94" i="1"/>
  <c r="C98" i="1"/>
  <c r="C102" i="1"/>
  <c r="C106" i="1"/>
  <c r="C110" i="1"/>
  <c r="C114" i="1"/>
  <c r="C118" i="1"/>
  <c r="C122" i="1"/>
  <c r="C126" i="1"/>
  <c r="C130" i="1"/>
  <c r="C134" i="1"/>
  <c r="C138" i="1"/>
  <c r="C142" i="1"/>
  <c r="C146" i="1"/>
  <c r="C150" i="1"/>
  <c r="I135" i="1"/>
  <c r="I119" i="1"/>
  <c r="I103" i="1"/>
  <c r="I87" i="1"/>
  <c r="I71" i="1"/>
  <c r="I55" i="1"/>
  <c r="E53" i="1"/>
  <c r="E62" i="1"/>
  <c r="E68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C55" i="1"/>
  <c r="C59" i="1"/>
  <c r="C63" i="1"/>
  <c r="C67" i="1"/>
  <c r="C71" i="1"/>
  <c r="C75" i="1"/>
  <c r="C79" i="1"/>
  <c r="C83" i="1"/>
  <c r="C87" i="1"/>
  <c r="C91" i="1"/>
  <c r="C95" i="1"/>
  <c r="C99" i="1"/>
  <c r="C103" i="1"/>
  <c r="C107" i="1"/>
  <c r="C111" i="1"/>
  <c r="C115" i="1"/>
  <c r="C119" i="1"/>
  <c r="C123" i="1"/>
  <c r="C127" i="1"/>
  <c r="C131" i="1"/>
  <c r="C135" i="1"/>
  <c r="C139" i="1"/>
  <c r="C143" i="1"/>
  <c r="C147" i="1"/>
  <c r="C151" i="1"/>
  <c r="E69" i="1"/>
  <c r="E78" i="1"/>
  <c r="E86" i="1"/>
  <c r="E94" i="1"/>
  <c r="E102" i="1"/>
  <c r="E110" i="1"/>
  <c r="E114" i="1"/>
  <c r="E122" i="1"/>
  <c r="E126" i="1"/>
  <c r="E134" i="1"/>
  <c r="E142" i="1"/>
  <c r="E146" i="1"/>
  <c r="C56" i="1"/>
  <c r="C60" i="1"/>
  <c r="C64" i="1"/>
  <c r="C72" i="1"/>
  <c r="C76" i="1"/>
  <c r="C80" i="1"/>
  <c r="C88" i="1"/>
  <c r="C92" i="1"/>
  <c r="C100" i="1"/>
  <c r="C104" i="1"/>
  <c r="C112" i="1"/>
  <c r="C120" i="1"/>
  <c r="C124" i="1"/>
  <c r="C132" i="1"/>
  <c r="C140" i="1"/>
  <c r="C144" i="1"/>
  <c r="C57" i="1"/>
  <c r="C65" i="1"/>
  <c r="C77" i="1"/>
  <c r="C85" i="1"/>
  <c r="C97" i="1"/>
  <c r="C105" i="1"/>
  <c r="C117" i="1"/>
  <c r="C125" i="1"/>
  <c r="C133" i="1"/>
  <c r="C145" i="1"/>
  <c r="C149" i="1"/>
  <c r="K10" i="1"/>
  <c r="K8" i="1"/>
  <c r="K9" i="1"/>
  <c r="K7" i="1"/>
  <c r="F52" i="1" l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</calcChain>
</file>

<file path=xl/comments1.xml><?xml version="1.0" encoding="utf-8"?>
<comments xmlns="http://schemas.openxmlformats.org/spreadsheetml/2006/main">
  <authors>
    <author>user</author>
  </authors>
  <commentList>
    <comment ref="U10" authorId="0">
      <text>
        <r>
          <rPr>
            <b/>
            <sz val="15"/>
            <color indexed="81"/>
            <rFont val="돋움"/>
            <family val="3"/>
            <charset val="129"/>
          </rPr>
          <t>물리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방어력</t>
        </r>
        <r>
          <rPr>
            <b/>
            <sz val="15"/>
            <color indexed="81"/>
            <rFont val="Tahoma"/>
            <family val="2"/>
          </rPr>
          <t>+</t>
        </r>
        <r>
          <rPr>
            <b/>
            <sz val="15"/>
            <color indexed="81"/>
            <rFont val="돋움"/>
            <family val="3"/>
            <charset val="129"/>
          </rPr>
          <t>마법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방어력</t>
        </r>
      </text>
    </comment>
  </commentList>
</comments>
</file>

<file path=xl/sharedStrings.xml><?xml version="1.0" encoding="utf-8"?>
<sst xmlns="http://schemas.openxmlformats.org/spreadsheetml/2006/main" count="309" uniqueCount="169">
  <si>
    <t>합계</t>
  </si>
  <si>
    <t>공격력</t>
  </si>
  <si>
    <t>공격속도</t>
  </si>
  <si>
    <t>방어력</t>
  </si>
  <si>
    <t>기사</t>
  </si>
  <si>
    <t>도적</t>
  </si>
  <si>
    <t>궁수</t>
  </si>
  <si>
    <t>법사</t>
  </si>
  <si>
    <t>공격력</t>
    <phoneticPr fontId="2" type="noConversion"/>
  </si>
  <si>
    <t>PVP 시뮬레이션</t>
    <phoneticPr fontId="2" type="noConversion"/>
  </si>
  <si>
    <t>만 레벨 90</t>
    <phoneticPr fontId="2" type="noConversion"/>
  </si>
  <si>
    <t>1레벨 기본스탯</t>
    <phoneticPr fontId="2" type="noConversion"/>
  </si>
  <si>
    <t>DPS</t>
    <phoneticPr fontId="2" type="noConversion"/>
  </si>
  <si>
    <t>변화 스탯</t>
    <phoneticPr fontId="2" type="noConversion"/>
  </si>
  <si>
    <t>증가량</t>
    <phoneticPr fontId="2" type="noConversion"/>
  </si>
  <si>
    <t>힘</t>
    <phoneticPr fontId="2" type="noConversion"/>
  </si>
  <si>
    <t>체력</t>
    <phoneticPr fontId="2" type="noConversion"/>
  </si>
  <si>
    <t>체력</t>
    <phoneticPr fontId="2" type="noConversion"/>
  </si>
  <si>
    <t>힘</t>
    <phoneticPr fontId="2" type="noConversion"/>
  </si>
  <si>
    <t>직업</t>
    <phoneticPr fontId="2" type="noConversion"/>
  </si>
  <si>
    <t>총합</t>
    <phoneticPr fontId="2" type="noConversion"/>
  </si>
  <si>
    <t>기사</t>
    <phoneticPr fontId="2" type="noConversion"/>
  </si>
  <si>
    <t>민첩</t>
    <phoneticPr fontId="2" type="noConversion"/>
  </si>
  <si>
    <t>지력</t>
    <phoneticPr fontId="2" type="noConversion"/>
  </si>
  <si>
    <t>도적</t>
    <phoneticPr fontId="2" type="noConversion"/>
  </si>
  <si>
    <t>궁수</t>
    <phoneticPr fontId="2" type="noConversion"/>
  </si>
  <si>
    <t>법사</t>
    <phoneticPr fontId="2" type="noConversion"/>
  </si>
  <si>
    <t>민첩</t>
    <phoneticPr fontId="2" type="noConversion"/>
  </si>
  <si>
    <t>지력</t>
    <phoneticPr fontId="2" type="noConversion"/>
  </si>
  <si>
    <t>90 레벨 기준 캐릭터 스테이터스 정보</t>
    <phoneticPr fontId="2" type="noConversion"/>
  </si>
  <si>
    <t>90 레벨 기준 캐릭터 정보</t>
    <phoneticPr fontId="2" type="noConversion"/>
  </si>
  <si>
    <t>공격력</t>
    <phoneticPr fontId="2" type="noConversion"/>
  </si>
  <si>
    <t>공격속도</t>
    <phoneticPr fontId="2" type="noConversion"/>
  </si>
  <si>
    <t>DPM</t>
    <phoneticPr fontId="2" type="noConversion"/>
  </si>
  <si>
    <t>HP</t>
    <phoneticPr fontId="2" type="noConversion"/>
  </si>
  <si>
    <t>방어력</t>
    <phoneticPr fontId="2" type="noConversion"/>
  </si>
  <si>
    <t>방어력에 의한 감소수치</t>
    <phoneticPr fontId="2" type="noConversion"/>
  </si>
  <si>
    <t>방어력</t>
    <phoneticPr fontId="2" type="noConversion"/>
  </si>
  <si>
    <t>임의의 숫자</t>
    <phoneticPr fontId="2" type="noConversion"/>
  </si>
  <si>
    <t>1레벨 기본스탯 설명</t>
    <phoneticPr fontId="2" type="noConversion"/>
  </si>
  <si>
    <t>1. 최대 능력치는 15로 설정</t>
    <phoneticPr fontId="2" type="noConversion"/>
  </si>
  <si>
    <t>2. 각 능력치의 합계는 35로 설정</t>
    <phoneticPr fontId="2" type="noConversion"/>
  </si>
  <si>
    <t>3. 공격속도는 임의로 설정</t>
    <phoneticPr fontId="2" type="noConversion"/>
  </si>
  <si>
    <t>함수공식</t>
    <phoneticPr fontId="2" type="noConversion"/>
  </si>
  <si>
    <t>1레벨 업 당 증가 하는 수치</t>
    <phoneticPr fontId="2" type="noConversion"/>
  </si>
  <si>
    <t>4. 1 레벨 업 당 증가 수치는 임의로 설정</t>
    <phoneticPr fontId="2" type="noConversion"/>
  </si>
  <si>
    <t>5. 1 레벨 업 당 증가 수치의 총합은 10으로 설정</t>
    <phoneticPr fontId="2" type="noConversion"/>
  </si>
  <si>
    <t>HP</t>
    <phoneticPr fontId="2" type="noConversion"/>
  </si>
  <si>
    <t>직업 별 특성</t>
    <phoneticPr fontId="2" type="noConversion"/>
  </si>
  <si>
    <t>가장 높은 힘 수치를 기준으로 둔다.</t>
    <phoneticPr fontId="2" type="noConversion"/>
  </si>
  <si>
    <t>가장 높은 민첩 수치를 기준으로 둔다.</t>
    <phoneticPr fontId="2" type="noConversion"/>
  </si>
  <si>
    <t>가장 높은 지력 수치를 기준으로 둔다.</t>
    <phoneticPr fontId="2" type="noConversion"/>
  </si>
  <si>
    <t>힘에 가장 높은 수치를 가지고 있고, 그 다음으로 체력에 가장 높은 수치를 가진다.</t>
    <phoneticPr fontId="2" type="noConversion"/>
  </si>
  <si>
    <t>민첩에 가장 높은 수치를 가지고 있고, 그 다음으로 힘에 가장 높은 수치를 가진다.</t>
    <phoneticPr fontId="2" type="noConversion"/>
  </si>
  <si>
    <t>지력에 가장 높은 수치를 가지고 있고, 그 다음으로 민첩에 가장 높은 수치를 가진다.</t>
    <phoneticPr fontId="2" type="noConversion"/>
  </si>
  <si>
    <t>직업별 스탯 특성</t>
    <phoneticPr fontId="2" type="noConversion"/>
  </si>
  <si>
    <t>직업 별 공격력 특성</t>
    <phoneticPr fontId="2" type="noConversion"/>
  </si>
  <si>
    <t>6. 방어력에 의한 감소수치는 방어력의 15%로 설정</t>
    <phoneticPr fontId="2" type="noConversion"/>
  </si>
  <si>
    <t>1레벨 업 당 증가 수치 설명</t>
    <phoneticPr fontId="2" type="noConversion"/>
  </si>
  <si>
    <t>1레벨 업 당 증가 수치 특성</t>
    <phoneticPr fontId="2" type="noConversion"/>
  </si>
  <si>
    <t>힘 수치가 가장 크게 올라간다.</t>
    <phoneticPr fontId="2" type="noConversion"/>
  </si>
  <si>
    <t>민첩 수치가 가장 크게 올라간다.</t>
    <phoneticPr fontId="2" type="noConversion"/>
  </si>
  <si>
    <t>지력 수치가 가장 크게 올라간다.</t>
    <phoneticPr fontId="2" type="noConversion"/>
  </si>
  <si>
    <t>기사</t>
    <phoneticPr fontId="2" type="noConversion"/>
  </si>
  <si>
    <t>초</t>
    <phoneticPr fontId="2" type="noConversion"/>
  </si>
  <si>
    <t>데미지</t>
    <phoneticPr fontId="2" type="noConversion"/>
  </si>
  <si>
    <t>HP</t>
    <phoneticPr fontId="2" type="noConversion"/>
  </si>
  <si>
    <t>HP</t>
    <phoneticPr fontId="2" type="noConversion"/>
  </si>
  <si>
    <t>도적</t>
    <phoneticPr fontId="2" type="noConversion"/>
  </si>
  <si>
    <t>궁수</t>
    <phoneticPr fontId="2" type="noConversion"/>
  </si>
  <si>
    <t>평균 대전 시간 90초 (+- 5초)</t>
    <phoneticPr fontId="2" type="noConversion"/>
  </si>
  <si>
    <t>법사</t>
    <phoneticPr fontId="2" type="noConversion"/>
  </si>
  <si>
    <t>종료시간</t>
    <phoneticPr fontId="2" type="noConversion"/>
  </si>
  <si>
    <t>92초</t>
    <phoneticPr fontId="2" type="noConversion"/>
  </si>
  <si>
    <t>시간편차</t>
    <phoneticPr fontId="2" type="noConversion"/>
  </si>
  <si>
    <t>0초</t>
    <phoneticPr fontId="2" type="noConversion"/>
  </si>
  <si>
    <t>87초</t>
    <phoneticPr fontId="2" type="noConversion"/>
  </si>
  <si>
    <t>7초</t>
    <phoneticPr fontId="2" type="noConversion"/>
  </si>
  <si>
    <t>89초</t>
    <phoneticPr fontId="2" type="noConversion"/>
  </si>
  <si>
    <t>4초</t>
    <phoneticPr fontId="2" type="noConversion"/>
  </si>
  <si>
    <t>89초</t>
    <phoneticPr fontId="2" type="noConversion"/>
  </si>
  <si>
    <t>88초</t>
    <phoneticPr fontId="2" type="noConversion"/>
  </si>
  <si>
    <t>3초</t>
    <phoneticPr fontId="2" type="noConversion"/>
  </si>
  <si>
    <t>90초</t>
    <phoneticPr fontId="2" type="noConversion"/>
  </si>
  <si>
    <t>DPS</t>
    <phoneticPr fontId="2" type="noConversion"/>
  </si>
  <si>
    <t>총 플레이 시간</t>
    <phoneticPr fontId="2" type="noConversion"/>
  </si>
  <si>
    <t>하루 6시간 씩 12개월을 플레이</t>
    <phoneticPr fontId="2" type="noConversion"/>
  </si>
  <si>
    <t>총 플레이 개월</t>
    <phoneticPr fontId="2" type="noConversion"/>
  </si>
  <si>
    <t>총 플레이 일</t>
    <phoneticPr fontId="2" type="noConversion"/>
  </si>
  <si>
    <t>총 플레이 분</t>
    <phoneticPr fontId="2" type="noConversion"/>
  </si>
  <si>
    <t>다음 레벨업에 
필요한 시간(분)</t>
    <phoneticPr fontId="2" type="noConversion"/>
  </si>
  <si>
    <t>해당 레벨업까지
 필요한 시간(분)</t>
    <phoneticPr fontId="2" type="noConversion"/>
  </si>
  <si>
    <t>만 레벨 90</t>
    <phoneticPr fontId="2" type="noConversion"/>
  </si>
  <si>
    <t>하루 평균 플레이 시간</t>
    <phoneticPr fontId="2" type="noConversion"/>
  </si>
  <si>
    <t>성장 곡선 설명</t>
    <phoneticPr fontId="2" type="noConversion"/>
  </si>
  <si>
    <t>1. 하루 6시간 씩 12개월을 플레이하는 것으로 설정</t>
    <phoneticPr fontId="2" type="noConversion"/>
  </si>
  <si>
    <t>2. 해당 곡선은 만레벨이 확장 될때마다 재수정 되어야함</t>
    <phoneticPr fontId="2" type="noConversion"/>
  </si>
  <si>
    <t>3. 곡선 공식 = (현재 레벨^성장 상수+0.2)</t>
    <phoneticPr fontId="2" type="noConversion"/>
  </si>
  <si>
    <t>4. 다음과 같이 공식을 선정한 이유는 플레이 타임이 곡선을 그리도록 
하기 위해 설정</t>
    <phoneticPr fontId="2" type="noConversion"/>
  </si>
  <si>
    <t>성장 곡선</t>
    <phoneticPr fontId="2" type="noConversion"/>
  </si>
  <si>
    <t>Level</t>
    <phoneticPr fontId="2" type="noConversion"/>
  </si>
  <si>
    <t>Level</t>
    <phoneticPr fontId="2" type="noConversion"/>
  </si>
  <si>
    <t>동레벨 몬스터 수</t>
    <phoneticPr fontId="2" type="noConversion"/>
  </si>
  <si>
    <t>총 경험치</t>
    <phoneticPr fontId="2" type="noConversion"/>
  </si>
  <si>
    <t>동레벨 몬스터 
사냥시간(초)</t>
    <phoneticPr fontId="2" type="noConversion"/>
  </si>
  <si>
    <t>동레벨 몬스터 
경험치</t>
    <phoneticPr fontId="2" type="noConversion"/>
  </si>
  <si>
    <t>몬스터
총 경험치</t>
    <phoneticPr fontId="2" type="noConversion"/>
  </si>
  <si>
    <t>퀘스트
경험치</t>
    <phoneticPr fontId="2" type="noConversion"/>
  </si>
  <si>
    <t>각 레벨당 
소요 시간(초)</t>
    <phoneticPr fontId="2" type="noConversion"/>
  </si>
  <si>
    <t>성장 경험치 곡선 설명</t>
    <phoneticPr fontId="2" type="noConversion"/>
  </si>
  <si>
    <t>성장 경험치 곡선</t>
    <phoneticPr fontId="2" type="noConversion"/>
  </si>
  <si>
    <t>1. 각 레벨당 소요 시간(초)를 기준으로 설정</t>
    <phoneticPr fontId="2" type="noConversion"/>
  </si>
  <si>
    <t>3. 동레벨 몬스터 경험치 공식은 (500+동레벨^2)</t>
    <phoneticPr fontId="2" type="noConversion"/>
  </si>
  <si>
    <t>4. 동레벨 몬스터 수는 각 레벨당 소요 시간(초)/동레벨 몬스터 사냥시간(초)로 설정</t>
    <phoneticPr fontId="2" type="noConversion"/>
  </si>
  <si>
    <t>2. 동레벨 몬스터 사냥시간(초)는 임의로 10초로 설정</t>
    <phoneticPr fontId="2" type="noConversion"/>
  </si>
  <si>
    <t>5. 몬스터의 총 경험치는 동레벨 몬스터 경험치*동레벨 몬스터 수</t>
    <phoneticPr fontId="2" type="noConversion"/>
  </si>
  <si>
    <t>6. 몬스터만을 사냥해서 레벨 업이 가능하지만 퀘스트의 병행보다 
1.5배로 노력이 듬</t>
    <phoneticPr fontId="2" type="noConversion"/>
  </si>
  <si>
    <t>7. 몬스터와 퀘스트의 병행이 가장 효율적임</t>
    <phoneticPr fontId="2" type="noConversion"/>
  </si>
  <si>
    <t>8. 퀘스트 경험치는 (총 경험치-몬스터 총 경험치)로 설정</t>
    <phoneticPr fontId="2" type="noConversion"/>
  </si>
  <si>
    <t>9. 동 레벨 몬스터 경험치와 총 경험치는 경험치 곡선과 
마찬가지로 곡선을 그리도록 설정</t>
    <phoneticPr fontId="2" type="noConversion"/>
  </si>
  <si>
    <t>레벨에 따라 획득하는 
총 재화의 량</t>
    <phoneticPr fontId="2" type="noConversion"/>
  </si>
  <si>
    <t>총합</t>
    <phoneticPr fontId="2" type="noConversion"/>
  </si>
  <si>
    <t>동레벨 몬스터 1체 당
지급 재화</t>
    <phoneticPr fontId="2" type="noConversion"/>
  </si>
  <si>
    <t xml:space="preserve">퀘스트를 통한
지급 재화 </t>
    <phoneticPr fontId="2" type="noConversion"/>
  </si>
  <si>
    <t>몬스터 사냥을 통해 
얻게되는 재화</t>
    <phoneticPr fontId="2" type="noConversion"/>
  </si>
  <si>
    <t>레벨에 따른 획득 재화</t>
    <phoneticPr fontId="2" type="noConversion"/>
  </si>
  <si>
    <t>1레벨부터 90레벨까지 획득하는 총 재화의 량</t>
    <phoneticPr fontId="2" type="noConversion"/>
  </si>
  <si>
    <t>레벨에 따른 몬스터의 경험치와 퀘스트 경험치</t>
    <phoneticPr fontId="2" type="noConversion"/>
  </si>
  <si>
    <t>1. 각 레벨당 필요 경험치를 기준으로 선정</t>
    <phoneticPr fontId="2" type="noConversion"/>
  </si>
  <si>
    <t>2. 각 레벨당 필요 경험치의 30%를 레벨에 따른 
총 재화량으로 설정</t>
    <phoneticPr fontId="2" type="noConversion"/>
  </si>
  <si>
    <t>3. 퀘스트를 통한 재화와 몬스터 사냥을 통한 재화의 
비율은 3:7로 설정</t>
    <phoneticPr fontId="2" type="noConversion"/>
  </si>
  <si>
    <t>4. 해당 비를 선정한 이유는 게임을 종량제로 서비스
할 경우 유저의 체류시간을 늘리기 위해서 설정</t>
    <phoneticPr fontId="2" type="noConversion"/>
  </si>
  <si>
    <t xml:space="preserve">5. 유저가 게임 내에서 아이템을 팔기 위해서는 개인마켓이나
가판대를 이용해 판매할 수 있도록 설정 </t>
    <phoneticPr fontId="2" type="noConversion"/>
  </si>
  <si>
    <t>6. 몬스터 1체 당 획득 재화는 몬스터 사냥을 통해 얻게되는 재화 
나누기 동레벨 몬스터 수로 설정</t>
    <phoneticPr fontId="2" type="noConversion"/>
  </si>
  <si>
    <t>버전 관리</t>
    <phoneticPr fontId="2" type="noConversion"/>
  </si>
  <si>
    <t>날짜</t>
    <phoneticPr fontId="2" type="noConversion"/>
  </si>
  <si>
    <t>내용</t>
    <phoneticPr fontId="2" type="noConversion"/>
  </si>
  <si>
    <t>버전</t>
    <phoneticPr fontId="2" type="noConversion"/>
  </si>
  <si>
    <t>Ver0.1</t>
    <phoneticPr fontId="2" type="noConversion"/>
  </si>
  <si>
    <t>Ver0.2</t>
    <phoneticPr fontId="2" type="noConversion"/>
  </si>
  <si>
    <t>Ver0.3</t>
    <phoneticPr fontId="2" type="noConversion"/>
  </si>
  <si>
    <t>2015.05.05</t>
    <phoneticPr fontId="2" type="noConversion"/>
  </si>
  <si>
    <t>초안작성</t>
    <phoneticPr fontId="2" type="noConversion"/>
  </si>
  <si>
    <t>2015.05.06</t>
    <phoneticPr fontId="2" type="noConversion"/>
  </si>
  <si>
    <t>스탯 및 능력치 수정</t>
    <phoneticPr fontId="2" type="noConversion"/>
  </si>
  <si>
    <t>2015.06.21</t>
    <phoneticPr fontId="2" type="noConversion"/>
  </si>
  <si>
    <t>레벨에 따른 스탯 추가 및 성장 곡선, 성장 경험치 곡선, 레벨에 따른 획득 재화 추가</t>
    <phoneticPr fontId="2" type="noConversion"/>
  </si>
  <si>
    <t>체력</t>
    <phoneticPr fontId="2" type="noConversion"/>
  </si>
  <si>
    <t>힘</t>
    <phoneticPr fontId="2" type="noConversion"/>
  </si>
  <si>
    <t>민첩</t>
    <phoneticPr fontId="2" type="noConversion"/>
  </si>
  <si>
    <t>지력</t>
    <phoneticPr fontId="2" type="noConversion"/>
  </si>
  <si>
    <t>(체력*1)</t>
    <phoneticPr fontId="2" type="noConversion"/>
  </si>
  <si>
    <t>(민첩*1.1)</t>
    <phoneticPr fontId="2" type="noConversion"/>
  </si>
  <si>
    <t>(민첩*1.2)</t>
    <phoneticPr fontId="2" type="noConversion"/>
  </si>
  <si>
    <t>(지력*1.3)</t>
    <phoneticPr fontId="2" type="noConversion"/>
  </si>
  <si>
    <t>(체력*200)</t>
    <phoneticPr fontId="2" type="noConversion"/>
  </si>
  <si>
    <t>(힘*0.35)+(민첩*0.2)</t>
    <phoneticPr fontId="2" type="noConversion"/>
  </si>
  <si>
    <t>(힘*0.35)+(민첩*0.2)+(지력*0.25)</t>
    <phoneticPr fontId="2" type="noConversion"/>
  </si>
  <si>
    <t>85초</t>
    <phoneticPr fontId="2" type="noConversion"/>
  </si>
  <si>
    <t>9초</t>
    <phoneticPr fontId="2" type="noConversion"/>
  </si>
  <si>
    <t>88초</t>
    <phoneticPr fontId="2" type="noConversion"/>
  </si>
  <si>
    <t>87초</t>
    <phoneticPr fontId="2" type="noConversion"/>
  </si>
  <si>
    <t>2초</t>
    <phoneticPr fontId="2" type="noConversion"/>
  </si>
  <si>
    <t>86초</t>
    <phoneticPr fontId="2" type="noConversion"/>
  </si>
  <si>
    <t>5초</t>
    <phoneticPr fontId="2" type="noConversion"/>
  </si>
  <si>
    <t>설명</t>
    <phoneticPr fontId="2" type="noConversion"/>
  </si>
  <si>
    <t>Ver0.4</t>
    <phoneticPr fontId="2" type="noConversion"/>
  </si>
  <si>
    <t>2015.06.27</t>
    <phoneticPr fontId="2" type="noConversion"/>
  </si>
  <si>
    <t>PVP 시뮬레이션 VBA 추가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</si>
</sst>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1" formatCode="_-* #,##0_-;\-* #,##0_-;_-* &quot;-&quot;_-;_-@_-"/>
    <numFmt numFmtId="176" formatCode="0_ ;[Red]\-0\ "/>
    <numFmt numFmtId="177" formatCode="0.00_ ;[Red]\-0.00\ "/>
    <numFmt numFmtId="178" formatCode="0_ "/>
    <numFmt numFmtId="179" formatCode="0.0_ "/>
    <numFmt numFmtId="180" formatCode="0.0"/>
    <numFmt numFmtId="181" formatCode="0&quot;%&quot;"/>
    <numFmt numFmtId="182" formatCode="General&quot;초&quot;"/>
    <numFmt numFmtId="183" formatCode="General&quot;개월&quot;"/>
    <numFmt numFmtId="184" formatCode="General&quot;일&quot;"/>
    <numFmt numFmtId="185" formatCode="General&quot;시간&quot;"/>
    <numFmt numFmtId="186" formatCode="General&quot;분&quot;"/>
  </numFmts>
  <fonts count="2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5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5"/>
      <color indexed="81"/>
      <name val="돋움"/>
      <family val="3"/>
      <charset val="129"/>
    </font>
    <font>
      <b/>
      <sz val="15"/>
      <color indexed="81"/>
      <name val="Tahoma"/>
      <family val="2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3"/>
      <color theme="0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</font>
    <font>
      <b/>
      <sz val="20"/>
      <color theme="0"/>
      <name val="맑은 고딕"/>
      <family val="3"/>
      <charset val="129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</fills>
  <borders count="7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 diagonalDown="1"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dashed">
        <color indexed="64"/>
      </diagonal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</cellStyleXfs>
  <cellXfs count="472">
    <xf numFmtId="0" fontId="0" fillId="0" borderId="0" xfId="0">
      <alignment vertical="center"/>
    </xf>
    <xf numFmtId="0" fontId="0" fillId="0" borderId="0" xfId="0" applyBorder="1" applyAlignment="1">
      <alignment vertical="center"/>
    </xf>
    <xf numFmtId="0" fontId="0" fillId="0" borderId="0" xfId="0" applyBorder="1">
      <alignment vertical="center"/>
    </xf>
    <xf numFmtId="0" fontId="0" fillId="0" borderId="0" xfId="0" applyAlignment="1">
      <alignment vertical="center"/>
    </xf>
    <xf numFmtId="0" fontId="5" fillId="2" borderId="1" xfId="1" applyNumberFormat="1" applyFont="1" applyFill="1" applyBorder="1" applyAlignment="1">
      <alignment horizontal="center" vertical="center"/>
    </xf>
    <xf numFmtId="0" fontId="5" fillId="2" borderId="29" xfId="1" applyNumberFormat="1" applyFont="1" applyFill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1" fontId="10" fillId="0" borderId="40" xfId="0" applyNumberFormat="1" applyFont="1" applyBorder="1" applyAlignment="1">
      <alignment horizontal="center" vertical="center"/>
    </xf>
    <xf numFmtId="0" fontId="9" fillId="7" borderId="1" xfId="3" applyFont="1" applyFill="1" applyBorder="1" applyAlignment="1">
      <alignment horizontal="center" vertical="center"/>
    </xf>
    <xf numFmtId="0" fontId="9" fillId="0" borderId="47" xfId="3" applyFont="1" applyFill="1" applyBorder="1" applyAlignment="1">
      <alignment horizontal="center" vertical="center"/>
    </xf>
    <xf numFmtId="0" fontId="7" fillId="0" borderId="47" xfId="1" applyNumberFormat="1" applyFont="1" applyBorder="1" applyAlignment="1">
      <alignment horizontal="center" vertical="center"/>
    </xf>
    <xf numFmtId="0" fontId="7" fillId="0" borderId="40" xfId="1" applyNumberFormat="1" applyFont="1" applyFill="1" applyBorder="1" applyAlignment="1">
      <alignment horizontal="center" vertical="center"/>
    </xf>
    <xf numFmtId="0" fontId="7" fillId="0" borderId="30" xfId="1" applyNumberFormat="1" applyFont="1" applyFill="1" applyBorder="1" applyAlignment="1">
      <alignment horizontal="center" vertical="center"/>
    </xf>
    <xf numFmtId="0" fontId="7" fillId="6" borderId="8" xfId="1" applyNumberFormat="1" applyFont="1" applyFill="1" applyBorder="1" applyAlignment="1">
      <alignment horizontal="center" vertical="center"/>
    </xf>
    <xf numFmtId="180" fontId="7" fillId="0" borderId="39" xfId="0" applyNumberFormat="1" applyFont="1" applyFill="1" applyBorder="1">
      <alignment vertical="center"/>
    </xf>
    <xf numFmtId="177" fontId="7" fillId="0" borderId="8" xfId="0" applyNumberFormat="1" applyFont="1" applyFill="1" applyBorder="1">
      <alignment vertical="center"/>
    </xf>
    <xf numFmtId="176" fontId="7" fillId="0" borderId="31" xfId="0" applyNumberFormat="1" applyFont="1" applyFill="1" applyBorder="1">
      <alignment vertical="center"/>
    </xf>
    <xf numFmtId="178" fontId="7" fillId="0" borderId="8" xfId="0" applyNumberFormat="1" applyFont="1" applyFill="1" applyBorder="1">
      <alignment vertical="center"/>
    </xf>
    <xf numFmtId="179" fontId="7" fillId="0" borderId="31" xfId="0" applyNumberFormat="1" applyFont="1" applyFill="1" applyBorder="1" applyAlignment="1">
      <alignment horizontal="center" vertical="center"/>
    </xf>
    <xf numFmtId="0" fontId="7" fillId="0" borderId="20" xfId="1" applyNumberFormat="1" applyFont="1" applyFill="1" applyBorder="1" applyAlignment="1">
      <alignment horizontal="center" vertical="center"/>
    </xf>
    <xf numFmtId="0" fontId="7" fillId="0" borderId="2" xfId="1" applyNumberFormat="1" applyFont="1" applyFill="1" applyBorder="1" applyAlignment="1">
      <alignment horizontal="center" vertical="center"/>
    </xf>
    <xf numFmtId="0" fontId="7" fillId="6" borderId="2" xfId="1" applyNumberFormat="1" applyFont="1" applyFill="1" applyBorder="1" applyAlignment="1">
      <alignment horizontal="center" vertical="center"/>
    </xf>
    <xf numFmtId="0" fontId="7" fillId="0" borderId="25" xfId="1" applyNumberFormat="1" applyFont="1" applyFill="1" applyBorder="1" applyAlignment="1">
      <alignment horizontal="center" vertical="center"/>
    </xf>
    <xf numFmtId="0" fontId="7" fillId="6" borderId="27" xfId="1" applyNumberFormat="1" applyFont="1" applyFill="1" applyBorder="1" applyAlignment="1">
      <alignment horizontal="center" vertical="center"/>
    </xf>
    <xf numFmtId="180" fontId="7" fillId="0" borderId="3" xfId="0" applyNumberFormat="1" applyFont="1" applyFill="1" applyBorder="1">
      <alignment vertical="center"/>
    </xf>
    <xf numFmtId="177" fontId="7" fillId="0" borderId="27" xfId="0" applyNumberFormat="1" applyFont="1" applyFill="1" applyBorder="1">
      <alignment vertical="center"/>
    </xf>
    <xf numFmtId="176" fontId="7" fillId="0" borderId="51" xfId="0" applyNumberFormat="1" applyFont="1" applyFill="1" applyBorder="1">
      <alignment vertical="center"/>
    </xf>
    <xf numFmtId="178" fontId="7" fillId="0" borderId="27" xfId="0" applyNumberFormat="1" applyFont="1" applyFill="1" applyBorder="1">
      <alignment vertical="center"/>
    </xf>
    <xf numFmtId="0" fontId="11" fillId="0" borderId="20" xfId="1" applyNumberFormat="1" applyFont="1" applyFill="1" applyBorder="1" applyAlignment="1">
      <alignment horizontal="center" vertical="center"/>
    </xf>
    <xf numFmtId="0" fontId="11" fillId="0" borderId="2" xfId="1" applyNumberFormat="1" applyFont="1" applyFill="1" applyBorder="1" applyAlignment="1">
      <alignment horizontal="center" vertical="center"/>
    </xf>
    <xf numFmtId="0" fontId="11" fillId="6" borderId="2" xfId="1" applyNumberFormat="1" applyFont="1" applyFill="1" applyBorder="1" applyAlignment="1">
      <alignment horizontal="center" vertical="center"/>
    </xf>
    <xf numFmtId="0" fontId="11" fillId="0" borderId="25" xfId="1" applyNumberFormat="1" applyFont="1" applyFill="1" applyBorder="1" applyAlignment="1">
      <alignment horizontal="center" vertical="center"/>
    </xf>
    <xf numFmtId="180" fontId="11" fillId="0" borderId="3" xfId="0" applyNumberFormat="1" applyFont="1" applyFill="1" applyBorder="1">
      <alignment vertical="center"/>
    </xf>
    <xf numFmtId="0" fontId="7" fillId="0" borderId="21" xfId="1" applyNumberFormat="1" applyFont="1" applyFill="1" applyBorder="1" applyAlignment="1">
      <alignment horizontal="center" vertical="center"/>
    </xf>
    <xf numFmtId="0" fontId="7" fillId="0" borderId="6" xfId="1" applyNumberFormat="1" applyFont="1" applyFill="1" applyBorder="1" applyAlignment="1">
      <alignment horizontal="center" vertical="center"/>
    </xf>
    <xf numFmtId="0" fontId="7" fillId="6" borderId="26" xfId="1" applyNumberFormat="1" applyFont="1" applyFill="1" applyBorder="1" applyAlignment="1">
      <alignment horizontal="center" vertical="center"/>
    </xf>
    <xf numFmtId="0" fontId="7" fillId="6" borderId="44" xfId="1" applyNumberFormat="1" applyFont="1" applyFill="1" applyBorder="1" applyAlignment="1">
      <alignment horizontal="center" vertical="center"/>
    </xf>
    <xf numFmtId="180" fontId="7" fillId="0" borderId="5" xfId="0" applyNumberFormat="1" applyFont="1" applyFill="1" applyBorder="1">
      <alignment vertical="center"/>
    </xf>
    <xf numFmtId="177" fontId="7" fillId="0" borderId="44" xfId="0" applyNumberFormat="1" applyFont="1" applyFill="1" applyBorder="1">
      <alignment vertical="center"/>
    </xf>
    <xf numFmtId="176" fontId="7" fillId="0" borderId="52" xfId="0" applyNumberFormat="1" applyFont="1" applyFill="1" applyBorder="1">
      <alignment vertical="center"/>
    </xf>
    <xf numFmtId="178" fontId="7" fillId="0" borderId="44" xfId="0" applyNumberFormat="1" applyFont="1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7" fillId="0" borderId="40" xfId="3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41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1" fontId="10" fillId="0" borderId="41" xfId="0" applyNumberFormat="1" applyFont="1" applyBorder="1" applyAlignment="1">
      <alignment horizontal="center" vertical="center"/>
    </xf>
    <xf numFmtId="0" fontId="7" fillId="0" borderId="45" xfId="1" applyNumberFormat="1" applyFont="1" applyFill="1" applyBorder="1" applyAlignment="1">
      <alignment horizontal="center" vertical="center"/>
    </xf>
    <xf numFmtId="0" fontId="7" fillId="6" borderId="40" xfId="1" applyNumberFormat="1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180" fontId="7" fillId="0" borderId="25" xfId="1" applyNumberFormat="1" applyFont="1" applyFill="1" applyBorder="1" applyAlignment="1">
      <alignment horizontal="center" vertical="center"/>
    </xf>
    <xf numFmtId="0" fontId="7" fillId="0" borderId="47" xfId="0" applyFont="1" applyBorder="1" applyAlignment="1">
      <alignment horizontal="center" vertical="center"/>
    </xf>
    <xf numFmtId="1" fontId="7" fillId="0" borderId="39" xfId="0" applyNumberFormat="1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1" fontId="7" fillId="0" borderId="40" xfId="0" applyNumberFormat="1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41" xfId="0" applyFont="1" applyBorder="1" applyAlignment="1">
      <alignment horizontal="center" vertical="center"/>
    </xf>
    <xf numFmtId="1" fontId="7" fillId="0" borderId="15" xfId="0" applyNumberFormat="1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1" fontId="7" fillId="0" borderId="16" xfId="0" applyNumberFormat="1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1" fontId="7" fillId="0" borderId="50" xfId="0" applyNumberFormat="1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1" fontId="7" fillId="0" borderId="48" xfId="0" applyNumberFormat="1" applyFont="1" applyBorder="1" applyAlignment="1">
      <alignment horizontal="center" vertical="center"/>
    </xf>
    <xf numFmtId="0" fontId="7" fillId="0" borderId="55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7" fillId="7" borderId="11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/>
    </xf>
    <xf numFmtId="0" fontId="7" fillId="7" borderId="23" xfId="0" applyFont="1" applyFill="1" applyBorder="1" applyAlignment="1">
      <alignment horizontal="center" vertical="center"/>
    </xf>
    <xf numFmtId="0" fontId="7" fillId="7" borderId="22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1" xfId="1" applyNumberFormat="1" applyFont="1" applyFill="1" applyBorder="1" applyAlignment="1">
      <alignment horizontal="center" vertical="center"/>
    </xf>
    <xf numFmtId="0" fontId="7" fillId="7" borderId="12" xfId="1" applyNumberFormat="1" applyFont="1" applyFill="1" applyBorder="1" applyAlignment="1">
      <alignment horizontal="center" vertical="center"/>
    </xf>
    <xf numFmtId="0" fontId="7" fillId="7" borderId="23" xfId="1" applyNumberFormat="1" applyFont="1" applyFill="1" applyBorder="1" applyAlignment="1">
      <alignment horizontal="center" vertical="center"/>
    </xf>
    <xf numFmtId="0" fontId="7" fillId="7" borderId="1" xfId="3" applyFont="1" applyFill="1" applyBorder="1" applyAlignment="1">
      <alignment horizontal="center" vertical="center"/>
    </xf>
    <xf numFmtId="0" fontId="7" fillId="7" borderId="29" xfId="3" applyFont="1" applyFill="1" applyBorder="1" applyAlignment="1">
      <alignment horizontal="center" vertical="center"/>
    </xf>
    <xf numFmtId="0" fontId="7" fillId="7" borderId="29" xfId="0" applyFont="1" applyFill="1" applyBorder="1" applyAlignment="1">
      <alignment horizontal="center" vertical="center"/>
    </xf>
    <xf numFmtId="181" fontId="7" fillId="0" borderId="5" xfId="0" applyNumberFormat="1" applyFont="1" applyBorder="1" applyAlignment="1">
      <alignment horizontal="center" vertical="center"/>
    </xf>
    <xf numFmtId="181" fontId="7" fillId="0" borderId="6" xfId="0" applyNumberFormat="1" applyFont="1" applyBorder="1" applyAlignment="1">
      <alignment horizontal="center" vertical="center"/>
    </xf>
    <xf numFmtId="181" fontId="7" fillId="0" borderId="7" xfId="0" applyNumberFormat="1" applyFont="1" applyBorder="1" applyAlignment="1">
      <alignment horizontal="center" vertical="center"/>
    </xf>
    <xf numFmtId="14" fontId="0" fillId="0" borderId="0" xfId="0" applyNumberFormat="1" applyFill="1" applyBorder="1">
      <alignment vertical="center"/>
    </xf>
    <xf numFmtId="0" fontId="0" fillId="0" borderId="0" xfId="0" applyNumberFormat="1" applyFill="1" applyBorder="1" applyAlignment="1">
      <alignment vertical="center"/>
    </xf>
    <xf numFmtId="179" fontId="0" fillId="0" borderId="0" xfId="0" applyNumberFormat="1" applyFill="1" applyBorder="1" applyAlignment="1">
      <alignment vertical="center"/>
    </xf>
    <xf numFmtId="0" fontId="0" fillId="0" borderId="0" xfId="0" applyNumberFormat="1" applyFill="1" applyBorder="1">
      <alignment vertical="center"/>
    </xf>
    <xf numFmtId="176" fontId="0" fillId="0" borderId="0" xfId="0" applyNumberFormat="1" applyFill="1" applyBorder="1">
      <alignment vertical="center"/>
    </xf>
    <xf numFmtId="179" fontId="0" fillId="0" borderId="0" xfId="0" applyNumberFormat="1" applyFill="1" applyBorder="1">
      <alignment vertical="center"/>
    </xf>
    <xf numFmtId="176" fontId="3" fillId="0" borderId="0" xfId="0" applyNumberFormat="1" applyFont="1" applyFill="1" applyBorder="1">
      <alignment vertical="center"/>
    </xf>
    <xf numFmtId="179" fontId="3" fillId="0" borderId="0" xfId="0" applyNumberFormat="1" applyFont="1" applyFill="1" applyBorder="1">
      <alignment vertical="center"/>
    </xf>
    <xf numFmtId="0" fontId="7" fillId="7" borderId="1" xfId="0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7" borderId="42" xfId="0" applyNumberFormat="1" applyFont="1" applyFill="1" applyBorder="1" applyAlignment="1">
      <alignment horizontal="center" vertical="center"/>
    </xf>
    <xf numFmtId="0" fontId="7" fillId="0" borderId="8" xfId="0" applyNumberFormat="1" applyFont="1" applyFill="1" applyBorder="1" applyAlignment="1">
      <alignment horizontal="center" vertical="center"/>
    </xf>
    <xf numFmtId="0" fontId="7" fillId="0" borderId="47" xfId="0" applyNumberFormat="1" applyFont="1" applyBorder="1" applyAlignment="1">
      <alignment horizontal="center" vertical="center"/>
    </xf>
    <xf numFmtId="0" fontId="7" fillId="0" borderId="42" xfId="0" applyFont="1" applyFill="1" applyBorder="1" applyAlignment="1">
      <alignment horizontal="center" vertical="center"/>
    </xf>
    <xf numFmtId="182" fontId="0" fillId="0" borderId="0" xfId="0" applyNumberFormat="1" applyFill="1" applyBorder="1" applyAlignment="1">
      <alignment horizontal="center" vertical="center"/>
    </xf>
    <xf numFmtId="2" fontId="7" fillId="0" borderId="25" xfId="1" applyNumberFormat="1" applyFont="1" applyFill="1" applyBorder="1" applyAlignment="1">
      <alignment horizontal="center" vertical="center"/>
    </xf>
    <xf numFmtId="0" fontId="7" fillId="9" borderId="8" xfId="1" applyNumberFormat="1" applyFont="1" applyFill="1" applyBorder="1" applyAlignment="1">
      <alignment horizontal="center" vertical="center"/>
    </xf>
    <xf numFmtId="0" fontId="7" fillId="8" borderId="9" xfId="1" applyNumberFormat="1" applyFont="1" applyFill="1" applyBorder="1" applyAlignment="1">
      <alignment horizontal="center" vertical="center"/>
    </xf>
    <xf numFmtId="0" fontId="11" fillId="10" borderId="9" xfId="1" applyNumberFormat="1" applyFont="1" applyFill="1" applyBorder="1" applyAlignment="1">
      <alignment horizontal="center" vertical="center"/>
    </xf>
    <xf numFmtId="0" fontId="7" fillId="12" borderId="10" xfId="1" applyNumberFormat="1" applyFont="1" applyFill="1" applyBorder="1" applyAlignment="1">
      <alignment horizontal="center" vertical="center"/>
    </xf>
    <xf numFmtId="0" fontId="7" fillId="12" borderId="41" xfId="0" applyFont="1" applyFill="1" applyBorder="1" applyAlignment="1">
      <alignment horizontal="center" vertical="center"/>
    </xf>
    <xf numFmtId="0" fontId="7" fillId="8" borderId="40" xfId="0" applyFont="1" applyFill="1" applyBorder="1" applyAlignment="1">
      <alignment horizontal="center" vertical="center"/>
    </xf>
    <xf numFmtId="0" fontId="7" fillId="10" borderId="40" xfId="0" applyFont="1" applyFill="1" applyBorder="1" applyAlignment="1">
      <alignment horizontal="center" vertical="center"/>
    </xf>
    <xf numFmtId="0" fontId="7" fillId="9" borderId="39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7" fillId="0" borderId="60" xfId="0" applyFont="1" applyBorder="1">
      <alignment vertical="center"/>
    </xf>
    <xf numFmtId="0" fontId="7" fillId="0" borderId="0" xfId="0" applyFont="1" applyFill="1">
      <alignment vertical="center"/>
    </xf>
    <xf numFmtId="0" fontId="7" fillId="0" borderId="47" xfId="0" applyFont="1" applyBorder="1">
      <alignment vertical="center"/>
    </xf>
    <xf numFmtId="0" fontId="7" fillId="0" borderId="0" xfId="0" applyNumberFormat="1" applyFont="1" applyFill="1" applyBorder="1" applyAlignment="1">
      <alignment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28" xfId="0" applyFont="1" applyFill="1" applyBorder="1" applyAlignment="1">
      <alignment horizontal="center" vertical="center"/>
    </xf>
    <xf numFmtId="0" fontId="7" fillId="0" borderId="29" xfId="0" applyFont="1" applyFill="1" applyBorder="1" applyAlignment="1">
      <alignment horizontal="center" vertical="center"/>
    </xf>
    <xf numFmtId="0" fontId="7" fillId="0" borderId="0" xfId="0" applyFont="1" applyFill="1" applyBorder="1">
      <alignment vertical="center"/>
    </xf>
    <xf numFmtId="182" fontId="7" fillId="0" borderId="8" xfId="0" applyNumberFormat="1" applyFont="1" applyFill="1" applyBorder="1" applyAlignment="1">
      <alignment horizontal="center" vertical="center"/>
    </xf>
    <xf numFmtId="182" fontId="7" fillId="0" borderId="27" xfId="0" applyNumberFormat="1" applyFont="1" applyFill="1" applyBorder="1" applyAlignment="1">
      <alignment horizontal="center" vertical="center"/>
    </xf>
    <xf numFmtId="182" fontId="7" fillId="0" borderId="9" xfId="0" applyNumberFormat="1" applyFont="1" applyFill="1" applyBorder="1" applyAlignment="1">
      <alignment horizontal="center" vertical="center"/>
    </xf>
    <xf numFmtId="0" fontId="7" fillId="0" borderId="0" xfId="0" applyNumberFormat="1" applyFont="1" applyFill="1" applyBorder="1">
      <alignment vertical="center"/>
    </xf>
    <xf numFmtId="176" fontId="7" fillId="0" borderId="0" xfId="0" applyNumberFormat="1" applyFont="1" applyFill="1" applyBorder="1">
      <alignment vertical="center"/>
    </xf>
    <xf numFmtId="179" fontId="7" fillId="0" borderId="0" xfId="0" applyNumberFormat="1" applyFont="1" applyFill="1" applyBorder="1">
      <alignment vertical="center"/>
    </xf>
    <xf numFmtId="182" fontId="7" fillId="13" borderId="9" xfId="0" applyNumberFormat="1" applyFont="1" applyFill="1" applyBorder="1" applyAlignment="1">
      <alignment horizontal="center" vertical="center"/>
    </xf>
    <xf numFmtId="182" fontId="7" fillId="10" borderId="9" xfId="0" applyNumberFormat="1" applyFont="1" applyFill="1" applyBorder="1" applyAlignment="1">
      <alignment horizontal="center" vertical="center"/>
    </xf>
    <xf numFmtId="182" fontId="7" fillId="8" borderId="9" xfId="0" applyNumberFormat="1" applyFont="1" applyFill="1" applyBorder="1" applyAlignment="1">
      <alignment horizontal="center" vertical="center"/>
    </xf>
    <xf numFmtId="182" fontId="7" fillId="0" borderId="61" xfId="0" applyNumberFormat="1" applyFont="1" applyFill="1" applyBorder="1" applyAlignment="1">
      <alignment horizontal="center" vertical="center"/>
    </xf>
    <xf numFmtId="182" fontId="7" fillId="12" borderId="61" xfId="0" applyNumberFormat="1" applyFont="1" applyFill="1" applyBorder="1" applyAlignment="1">
      <alignment horizontal="center" vertical="center"/>
    </xf>
    <xf numFmtId="182" fontId="7" fillId="11" borderId="1" xfId="0" applyNumberFormat="1" applyFont="1" applyFill="1" applyBorder="1" applyAlignment="1">
      <alignment horizontal="center" vertical="center"/>
    </xf>
    <xf numFmtId="182" fontId="7" fillId="9" borderId="9" xfId="0" applyNumberFormat="1" applyFont="1" applyFill="1" applyBorder="1" applyAlignment="1">
      <alignment horizontal="center" vertical="center"/>
    </xf>
    <xf numFmtId="179" fontId="11" fillId="0" borderId="0" xfId="0" applyNumberFormat="1" applyFont="1" applyFill="1" applyBorder="1">
      <alignment vertical="center"/>
    </xf>
    <xf numFmtId="176" fontId="11" fillId="0" borderId="0" xfId="0" applyNumberFormat="1" applyFont="1" applyFill="1" applyBorder="1">
      <alignment vertical="center"/>
    </xf>
    <xf numFmtId="182" fontId="7" fillId="14" borderId="10" xfId="0" applyNumberFormat="1" applyFont="1" applyFill="1" applyBorder="1" applyAlignment="1">
      <alignment horizontal="center" vertical="center"/>
    </xf>
    <xf numFmtId="182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22" xfId="0" applyFont="1" applyFill="1" applyBorder="1" applyAlignment="1">
      <alignment horizontal="center" vertical="center"/>
    </xf>
    <xf numFmtId="0" fontId="7" fillId="0" borderId="46" xfId="0" applyFont="1" applyFill="1" applyBorder="1" applyAlignment="1">
      <alignment horizontal="center" vertical="center"/>
    </xf>
    <xf numFmtId="0" fontId="7" fillId="0" borderId="54" xfId="0" applyFont="1" applyFill="1" applyBorder="1" applyAlignment="1">
      <alignment horizontal="center" vertical="center"/>
    </xf>
    <xf numFmtId="182" fontId="7" fillId="0" borderId="37" xfId="0" applyNumberFormat="1" applyFont="1" applyFill="1" applyBorder="1" applyAlignment="1">
      <alignment horizontal="center" vertical="center"/>
    </xf>
    <xf numFmtId="182" fontId="7" fillId="0" borderId="18" xfId="0" applyNumberFormat="1" applyFont="1" applyFill="1" applyBorder="1" applyAlignment="1">
      <alignment horizontal="center" vertical="center"/>
    </xf>
    <xf numFmtId="182" fontId="7" fillId="13" borderId="18" xfId="0" applyNumberFormat="1" applyFont="1" applyFill="1" applyBorder="1" applyAlignment="1">
      <alignment horizontal="center" vertical="center"/>
    </xf>
    <xf numFmtId="182" fontId="7" fillId="0" borderId="64" xfId="0" applyNumberFormat="1" applyFont="1" applyFill="1" applyBorder="1" applyAlignment="1">
      <alignment horizontal="center" vertical="center"/>
    </xf>
    <xf numFmtId="182" fontId="7" fillId="10" borderId="64" xfId="0" applyNumberFormat="1" applyFont="1" applyFill="1" applyBorder="1" applyAlignment="1">
      <alignment horizontal="center" vertical="center"/>
    </xf>
    <xf numFmtId="182" fontId="7" fillId="11" borderId="22" xfId="0" applyNumberFormat="1" applyFont="1" applyFill="1" applyBorder="1" applyAlignment="1">
      <alignment horizontal="center" vertical="center"/>
    </xf>
    <xf numFmtId="182" fontId="7" fillId="0" borderId="66" xfId="0" applyNumberFormat="1" applyFont="1" applyFill="1" applyBorder="1" applyAlignment="1">
      <alignment horizontal="center" vertical="center"/>
    </xf>
    <xf numFmtId="182" fontId="7" fillId="12" borderId="66" xfId="0" applyNumberFormat="1" applyFont="1" applyFill="1" applyBorder="1" applyAlignment="1">
      <alignment horizontal="center" vertical="center"/>
    </xf>
    <xf numFmtId="182" fontId="7" fillId="14" borderId="19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82" fontId="7" fillId="10" borderId="18" xfId="0" applyNumberFormat="1" applyFont="1" applyFill="1" applyBorder="1" applyAlignment="1">
      <alignment horizontal="center" vertical="center"/>
    </xf>
    <xf numFmtId="182" fontId="7" fillId="12" borderId="22" xfId="0" applyNumberFormat="1" applyFont="1" applyFill="1" applyBorder="1" applyAlignment="1">
      <alignment horizontal="center" vertical="center"/>
    </xf>
    <xf numFmtId="0" fontId="14" fillId="0" borderId="8" xfId="0" applyFont="1" applyFill="1" applyBorder="1" applyAlignment="1">
      <alignment horizontal="center" vertical="center"/>
    </xf>
    <xf numFmtId="0" fontId="14" fillId="0" borderId="36" xfId="0" applyFont="1" applyFill="1" applyBorder="1" applyAlignment="1">
      <alignment horizontal="center" vertical="center"/>
    </xf>
    <xf numFmtId="0" fontId="14" fillId="0" borderId="31" xfId="0" applyFont="1" applyFill="1" applyBorder="1" applyAlignment="1">
      <alignment horizontal="center" vertical="center"/>
    </xf>
    <xf numFmtId="0" fontId="14" fillId="0" borderId="9" xfId="0" applyFont="1" applyFill="1" applyBorder="1" applyAlignment="1">
      <alignment horizontal="center" vertical="center"/>
    </xf>
    <xf numFmtId="0" fontId="14" fillId="0" borderId="34" xfId="0" applyFont="1" applyFill="1" applyBorder="1" applyAlignment="1">
      <alignment horizontal="center" vertical="center"/>
    </xf>
    <xf numFmtId="0" fontId="14" fillId="0" borderId="32" xfId="0" applyFont="1" applyFill="1" applyBorder="1" applyAlignment="1">
      <alignment horizontal="center" vertical="center"/>
    </xf>
    <xf numFmtId="0" fontId="14" fillId="13" borderId="9" xfId="0" applyFont="1" applyFill="1" applyBorder="1" applyAlignment="1">
      <alignment horizontal="center" vertical="center"/>
    </xf>
    <xf numFmtId="0" fontId="14" fillId="13" borderId="34" xfId="0" applyFont="1" applyFill="1" applyBorder="1" applyAlignment="1">
      <alignment horizontal="center" vertical="center"/>
    </xf>
    <xf numFmtId="0" fontId="14" fillId="13" borderId="32" xfId="0" applyFont="1" applyFill="1" applyBorder="1" applyAlignment="1">
      <alignment horizontal="center" vertical="center"/>
    </xf>
    <xf numFmtId="0" fontId="14" fillId="0" borderId="61" xfId="0" applyFont="1" applyFill="1" applyBorder="1" applyAlignment="1">
      <alignment horizontal="center" vertical="center"/>
    </xf>
    <xf numFmtId="0" fontId="14" fillId="0" borderId="62" xfId="0" applyFont="1" applyFill="1" applyBorder="1" applyAlignment="1">
      <alignment horizontal="center" vertical="center"/>
    </xf>
    <xf numFmtId="0" fontId="14" fillId="0" borderId="63" xfId="0" applyFont="1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 vertical="center"/>
    </xf>
    <xf numFmtId="0" fontId="14" fillId="11" borderId="28" xfId="0" applyFont="1" applyFill="1" applyBorder="1" applyAlignment="1">
      <alignment horizontal="center" vertical="center"/>
    </xf>
    <xf numFmtId="0" fontId="14" fillId="11" borderId="29" xfId="0" applyFont="1" applyFill="1" applyBorder="1" applyAlignment="1">
      <alignment horizontal="center" vertical="center"/>
    </xf>
    <xf numFmtId="0" fontId="14" fillId="0" borderId="27" xfId="0" applyFont="1" applyFill="1" applyBorder="1" applyAlignment="1">
      <alignment horizontal="center" vertical="center"/>
    </xf>
    <xf numFmtId="0" fontId="14" fillId="0" borderId="38" xfId="0" applyFont="1" applyFill="1" applyBorder="1" applyAlignment="1">
      <alignment horizontal="center" vertical="center"/>
    </xf>
    <xf numFmtId="0" fontId="14" fillId="0" borderId="51" xfId="0" applyFont="1" applyFill="1" applyBorder="1" applyAlignment="1">
      <alignment horizontal="center" vertical="center"/>
    </xf>
    <xf numFmtId="0" fontId="14" fillId="9" borderId="9" xfId="0" applyFont="1" applyFill="1" applyBorder="1" applyAlignment="1">
      <alignment horizontal="center" vertical="center"/>
    </xf>
    <xf numFmtId="0" fontId="14" fillId="9" borderId="34" xfId="0" applyFont="1" applyFill="1" applyBorder="1" applyAlignment="1">
      <alignment horizontal="center" vertical="center"/>
    </xf>
    <xf numFmtId="0" fontId="14" fillId="9" borderId="32" xfId="0" applyFont="1" applyFill="1" applyBorder="1" applyAlignment="1">
      <alignment horizontal="center" vertical="center"/>
    </xf>
    <xf numFmtId="0" fontId="14" fillId="14" borderId="10" xfId="0" applyFont="1" applyFill="1" applyBorder="1" applyAlignment="1">
      <alignment horizontal="center" vertical="center"/>
    </xf>
    <xf numFmtId="0" fontId="14" fillId="14" borderId="35" xfId="0" applyFont="1" applyFill="1" applyBorder="1" applyAlignment="1">
      <alignment horizontal="center" vertical="center"/>
    </xf>
    <xf numFmtId="0" fontId="14" fillId="14" borderId="33" xfId="0" applyFont="1" applyFill="1" applyBorder="1" applyAlignment="1">
      <alignment horizontal="center" vertical="center"/>
    </xf>
    <xf numFmtId="0" fontId="14" fillId="13" borderId="27" xfId="0" applyFont="1" applyFill="1" applyBorder="1" applyAlignment="1">
      <alignment horizontal="center" vertical="center"/>
    </xf>
    <xf numFmtId="0" fontId="14" fillId="8" borderId="9" xfId="0" applyFont="1" applyFill="1" applyBorder="1" applyAlignment="1">
      <alignment horizontal="center" vertical="center"/>
    </xf>
    <xf numFmtId="0" fontId="14" fillId="8" borderId="34" xfId="0" applyFont="1" applyFill="1" applyBorder="1" applyAlignment="1">
      <alignment horizontal="center" vertical="center"/>
    </xf>
    <xf numFmtId="0" fontId="14" fillId="8" borderId="27" xfId="0" applyFont="1" applyFill="1" applyBorder="1" applyAlignment="1">
      <alignment horizontal="center" vertical="center"/>
    </xf>
    <xf numFmtId="0" fontId="14" fillId="8" borderId="32" xfId="0" applyFont="1" applyFill="1" applyBorder="1" applyAlignment="1">
      <alignment horizontal="center" vertical="center"/>
    </xf>
    <xf numFmtId="0" fontId="14" fillId="0" borderId="43" xfId="0" applyFont="1" applyFill="1" applyBorder="1" applyAlignment="1">
      <alignment horizontal="center" vertical="center"/>
    </xf>
    <xf numFmtId="0" fontId="14" fillId="9" borderId="27" xfId="0" applyFont="1" applyFill="1" applyBorder="1" applyAlignment="1">
      <alignment horizontal="center" vertical="center"/>
    </xf>
    <xf numFmtId="0" fontId="14" fillId="13" borderId="51" xfId="0" applyFont="1" applyFill="1" applyBorder="1" applyAlignment="1">
      <alignment horizontal="center" vertical="center"/>
    </xf>
    <xf numFmtId="0" fontId="14" fillId="10" borderId="9" xfId="0" applyFont="1" applyFill="1" applyBorder="1" applyAlignment="1">
      <alignment horizontal="center" vertical="center"/>
    </xf>
    <xf numFmtId="0" fontId="14" fillId="10" borderId="34" xfId="0" applyFont="1" applyFill="1" applyBorder="1" applyAlignment="1">
      <alignment horizontal="center" vertical="center"/>
    </xf>
    <xf numFmtId="0" fontId="14" fillId="10" borderId="27" xfId="0" applyFont="1" applyFill="1" applyBorder="1" applyAlignment="1">
      <alignment horizontal="center" vertical="center"/>
    </xf>
    <xf numFmtId="0" fontId="14" fillId="10" borderId="51" xfId="0" applyFont="1" applyFill="1" applyBorder="1" applyAlignment="1">
      <alignment horizontal="center" vertical="center"/>
    </xf>
    <xf numFmtId="0" fontId="14" fillId="0" borderId="65" xfId="0" applyFont="1" applyFill="1" applyBorder="1" applyAlignment="1">
      <alignment horizontal="center" vertical="center"/>
    </xf>
    <xf numFmtId="0" fontId="14" fillId="9" borderId="51" xfId="0" applyFont="1" applyFill="1" applyBorder="1" applyAlignment="1">
      <alignment horizontal="center" vertical="center"/>
    </xf>
    <xf numFmtId="0" fontId="14" fillId="12" borderId="43" xfId="0" applyFont="1" applyFill="1" applyBorder="1" applyAlignment="1">
      <alignment horizontal="center" vertical="center"/>
    </xf>
    <xf numFmtId="0" fontId="14" fillId="12" borderId="62" xfId="0" applyFont="1" applyFill="1" applyBorder="1" applyAlignment="1">
      <alignment horizontal="center" vertical="center"/>
    </xf>
    <xf numFmtId="0" fontId="14" fillId="12" borderId="65" xfId="0" applyFont="1" applyFill="1" applyBorder="1" applyAlignment="1">
      <alignment horizontal="center" vertical="center"/>
    </xf>
    <xf numFmtId="0" fontId="14" fillId="10" borderId="61" xfId="0" applyFont="1" applyFill="1" applyBorder="1" applyAlignment="1">
      <alignment horizontal="center" vertical="center"/>
    </xf>
    <xf numFmtId="0" fontId="14" fillId="10" borderId="62" xfId="0" applyFont="1" applyFill="1" applyBorder="1" applyAlignment="1">
      <alignment horizontal="center" vertical="center"/>
    </xf>
    <xf numFmtId="0" fontId="14" fillId="10" borderId="63" xfId="0" applyFont="1" applyFill="1" applyBorder="1" applyAlignment="1">
      <alignment horizontal="center" vertical="center"/>
    </xf>
    <xf numFmtId="0" fontId="14" fillId="12" borderId="27" xfId="0" applyFont="1" applyFill="1" applyBorder="1" applyAlignment="1">
      <alignment horizontal="center" vertical="center"/>
    </xf>
    <xf numFmtId="0" fontId="14" fillId="12" borderId="38" xfId="0" applyFont="1" applyFill="1" applyBorder="1" applyAlignment="1">
      <alignment horizontal="center" vertical="center"/>
    </xf>
    <xf numFmtId="0" fontId="14" fillId="12" borderId="51" xfId="0" applyFont="1" applyFill="1" applyBorder="1" applyAlignment="1">
      <alignment horizontal="center" vertical="center"/>
    </xf>
    <xf numFmtId="0" fontId="14" fillId="10" borderId="32" xfId="0" applyFont="1" applyFill="1" applyBorder="1" applyAlignment="1">
      <alignment horizontal="center" vertical="center"/>
    </xf>
    <xf numFmtId="0" fontId="14" fillId="12" borderId="1" xfId="0" applyFont="1" applyFill="1" applyBorder="1" applyAlignment="1">
      <alignment horizontal="center" vertical="center"/>
    </xf>
    <xf numFmtId="0" fontId="14" fillId="12" borderId="28" xfId="0" applyFont="1" applyFill="1" applyBorder="1" applyAlignment="1">
      <alignment horizontal="center" vertical="center"/>
    </xf>
    <xf numFmtId="0" fontId="14" fillId="12" borderId="29" xfId="0" applyFont="1" applyFill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5" fillId="0" borderId="0" xfId="0" applyFont="1" applyFill="1" applyBorder="1" applyAlignment="1">
      <alignment vertical="center"/>
    </xf>
    <xf numFmtId="0" fontId="0" fillId="0" borderId="37" xfId="0" applyBorder="1">
      <alignment vertical="center"/>
    </xf>
    <xf numFmtId="0" fontId="0" fillId="0" borderId="18" xfId="0" applyBorder="1">
      <alignment vertical="center"/>
    </xf>
    <xf numFmtId="0" fontId="5" fillId="0" borderId="0" xfId="0" applyFont="1" applyFill="1" applyBorder="1" applyAlignment="1">
      <alignment horizontal="center" vertical="center"/>
    </xf>
    <xf numFmtId="0" fontId="5" fillId="2" borderId="42" xfId="0" applyFont="1" applyFill="1" applyBorder="1" applyAlignment="1">
      <alignment horizontal="center" vertical="center"/>
    </xf>
    <xf numFmtId="180" fontId="0" fillId="0" borderId="0" xfId="0" applyNumberForma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0" fillId="13" borderId="18" xfId="0" applyFill="1" applyBorder="1">
      <alignment vertical="center"/>
    </xf>
    <xf numFmtId="180" fontId="0" fillId="0" borderId="37" xfId="0" applyNumberFormat="1" applyFill="1" applyBorder="1" applyAlignment="1">
      <alignment horizontal="center" vertical="center"/>
    </xf>
    <xf numFmtId="180" fontId="0" fillId="0" borderId="18" xfId="0" applyNumberFormat="1" applyFill="1" applyBorder="1" applyAlignment="1">
      <alignment horizontal="center" vertical="center"/>
    </xf>
    <xf numFmtId="180" fontId="0" fillId="13" borderId="18" xfId="0" applyNumberFormat="1" applyFill="1" applyBorder="1" applyAlignment="1">
      <alignment horizontal="center" vertical="center"/>
    </xf>
    <xf numFmtId="0" fontId="5" fillId="2" borderId="54" xfId="0" applyFont="1" applyFill="1" applyBorder="1" applyAlignment="1">
      <alignment horizontal="center" vertical="center" wrapText="1"/>
    </xf>
    <xf numFmtId="0" fontId="5" fillId="2" borderId="42" xfId="0" applyFont="1" applyFill="1" applyBorder="1" applyAlignment="1">
      <alignment horizontal="center" vertical="center" wrapText="1"/>
    </xf>
    <xf numFmtId="180" fontId="0" fillId="0" borderId="8" xfId="0" applyNumberFormat="1" applyFill="1" applyBorder="1" applyAlignment="1">
      <alignment horizontal="center" vertical="center"/>
    </xf>
    <xf numFmtId="180" fontId="0" fillId="0" borderId="9" xfId="0" applyNumberFormat="1" applyFill="1" applyBorder="1" applyAlignment="1">
      <alignment horizontal="center" vertical="center"/>
    </xf>
    <xf numFmtId="180" fontId="0" fillId="13" borderId="9" xfId="0" applyNumberForma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20" fillId="2" borderId="42" xfId="0" applyFont="1" applyFill="1" applyBorder="1" applyAlignment="1">
      <alignment horizontal="center" vertical="center"/>
    </xf>
    <xf numFmtId="0" fontId="20" fillId="2" borderId="14" xfId="0" applyFont="1" applyFill="1" applyBorder="1" applyAlignment="1">
      <alignment horizontal="center" vertical="center" wrapText="1"/>
    </xf>
    <xf numFmtId="0" fontId="20" fillId="2" borderId="42" xfId="0" applyFont="1" applyFill="1" applyBorder="1" applyAlignment="1">
      <alignment horizontal="center" vertical="center" wrapText="1"/>
    </xf>
    <xf numFmtId="0" fontId="0" fillId="0" borderId="66" xfId="0" applyBorder="1">
      <alignment vertical="center"/>
    </xf>
    <xf numFmtId="180" fontId="0" fillId="0" borderId="27" xfId="0" applyNumberFormat="1" applyBorder="1" applyAlignment="1">
      <alignment horizontal="center" vertical="center"/>
    </xf>
    <xf numFmtId="180" fontId="0" fillId="0" borderId="38" xfId="0" applyNumberFormat="1" applyBorder="1" applyAlignment="1">
      <alignment horizontal="center" vertical="center"/>
    </xf>
    <xf numFmtId="180" fontId="0" fillId="0" borderId="9" xfId="0" applyNumberFormat="1" applyBorder="1" applyAlignment="1">
      <alignment horizontal="center" vertical="center"/>
    </xf>
    <xf numFmtId="180" fontId="0" fillId="0" borderId="34" xfId="0" applyNumberFormat="1" applyBorder="1" applyAlignment="1">
      <alignment horizontal="center" vertical="center"/>
    </xf>
    <xf numFmtId="0" fontId="20" fillId="2" borderId="22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wrapText="1"/>
    </xf>
    <xf numFmtId="0" fontId="20" fillId="2" borderId="28" xfId="0" applyFont="1" applyFill="1" applyBorder="1" applyAlignment="1">
      <alignment horizontal="center" vertical="center" wrapText="1"/>
    </xf>
    <xf numFmtId="180" fontId="0" fillId="13" borderId="34" xfId="0" applyNumberFormat="1" applyFill="1" applyBorder="1" applyAlignment="1">
      <alignment horizontal="center" vertical="center"/>
    </xf>
    <xf numFmtId="0" fontId="0" fillId="14" borderId="19" xfId="0" applyFill="1" applyBorder="1">
      <alignment vertical="center"/>
    </xf>
    <xf numFmtId="180" fontId="0" fillId="14" borderId="19" xfId="0" applyNumberFormat="1" applyFill="1" applyBorder="1" applyAlignment="1">
      <alignment horizontal="center" vertical="center"/>
    </xf>
    <xf numFmtId="180" fontId="0" fillId="14" borderId="10" xfId="0" applyNumberFormat="1" applyFill="1" applyBorder="1" applyAlignment="1">
      <alignment horizontal="center" vertical="center"/>
    </xf>
    <xf numFmtId="180" fontId="0" fillId="14" borderId="35" xfId="0" applyNumberFormat="1" applyFill="1" applyBorder="1" applyAlignment="1">
      <alignment horizontal="center" vertical="center"/>
    </xf>
    <xf numFmtId="0" fontId="10" fillId="18" borderId="67" xfId="0" applyFont="1" applyFill="1" applyBorder="1" applyAlignment="1">
      <alignment vertical="center"/>
    </xf>
    <xf numFmtId="0" fontId="10" fillId="18" borderId="0" xfId="0" applyFont="1" applyFill="1" applyBorder="1" applyAlignment="1">
      <alignment vertical="center"/>
    </xf>
    <xf numFmtId="0" fontId="10" fillId="18" borderId="65" xfId="0" applyFont="1" applyFill="1" applyBorder="1" applyAlignment="1">
      <alignment vertical="center"/>
    </xf>
    <xf numFmtId="0" fontId="10" fillId="18" borderId="67" xfId="0" applyFont="1" applyFill="1" applyBorder="1">
      <alignment vertical="center"/>
    </xf>
    <xf numFmtId="0" fontId="10" fillId="18" borderId="0" xfId="0" applyFont="1" applyFill="1" applyBorder="1">
      <alignment vertical="center"/>
    </xf>
    <xf numFmtId="0" fontId="10" fillId="18" borderId="65" xfId="0" applyFont="1" applyFill="1" applyBorder="1">
      <alignment vertical="center"/>
    </xf>
    <xf numFmtId="0" fontId="10" fillId="18" borderId="67" xfId="0" applyFont="1" applyFill="1" applyBorder="1" applyAlignment="1">
      <alignment horizontal="left" vertical="center"/>
    </xf>
    <xf numFmtId="0" fontId="10" fillId="18" borderId="0" xfId="0" applyFont="1" applyFill="1" applyBorder="1" applyAlignment="1">
      <alignment horizontal="left" vertical="center"/>
    </xf>
    <xf numFmtId="0" fontId="10" fillId="18" borderId="65" xfId="0" applyFont="1" applyFill="1" applyBorder="1" applyAlignment="1">
      <alignment horizontal="left" vertical="center"/>
    </xf>
    <xf numFmtId="0" fontId="0" fillId="18" borderId="68" xfId="0" applyFill="1" applyBorder="1">
      <alignment vertical="center"/>
    </xf>
    <xf numFmtId="0" fontId="0" fillId="18" borderId="69" xfId="0" applyFill="1" applyBorder="1">
      <alignment vertical="center"/>
    </xf>
    <xf numFmtId="0" fontId="0" fillId="18" borderId="52" xfId="0" applyFill="1" applyBorder="1">
      <alignment vertical="center"/>
    </xf>
    <xf numFmtId="0" fontId="10" fillId="18" borderId="68" xfId="0" applyFont="1" applyFill="1" applyBorder="1">
      <alignment vertical="center"/>
    </xf>
    <xf numFmtId="0" fontId="10" fillId="18" borderId="69" xfId="0" applyFont="1" applyFill="1" applyBorder="1">
      <alignment vertical="center"/>
    </xf>
    <xf numFmtId="0" fontId="10" fillId="18" borderId="52" xfId="0" applyFont="1" applyFill="1" applyBorder="1">
      <alignment vertical="center"/>
    </xf>
    <xf numFmtId="9" fontId="0" fillId="0" borderId="0" xfId="0" applyNumberFormat="1">
      <alignment vertical="center"/>
    </xf>
    <xf numFmtId="41" fontId="0" fillId="0" borderId="8" xfId="1" applyFont="1" applyBorder="1">
      <alignment vertical="center"/>
    </xf>
    <xf numFmtId="41" fontId="0" fillId="0" borderId="9" xfId="1" applyFont="1" applyBorder="1">
      <alignment vertical="center"/>
    </xf>
    <xf numFmtId="41" fontId="0" fillId="0" borderId="31" xfId="1" applyFont="1" applyBorder="1">
      <alignment vertical="center"/>
    </xf>
    <xf numFmtId="41" fontId="0" fillId="0" borderId="32" xfId="1" applyFont="1" applyBorder="1">
      <alignment vertical="center"/>
    </xf>
    <xf numFmtId="41" fontId="0" fillId="18" borderId="27" xfId="1" applyFont="1" applyFill="1" applyBorder="1" applyAlignment="1">
      <alignment horizontal="center" vertical="center"/>
    </xf>
    <xf numFmtId="41" fontId="0" fillId="0" borderId="38" xfId="1" applyFont="1" applyBorder="1" applyAlignment="1">
      <alignment horizontal="center" vertical="center"/>
    </xf>
    <xf numFmtId="41" fontId="0" fillId="0" borderId="27" xfId="1" applyFont="1" applyBorder="1" applyAlignment="1">
      <alignment horizontal="center" vertical="center"/>
    </xf>
    <xf numFmtId="41" fontId="0" fillId="18" borderId="9" xfId="1" applyFont="1" applyFill="1" applyBorder="1" applyAlignment="1">
      <alignment horizontal="center" vertical="center"/>
    </xf>
    <xf numFmtId="41" fontId="0" fillId="0" borderId="34" xfId="1" applyFont="1" applyBorder="1" applyAlignment="1">
      <alignment horizontal="center" vertical="center"/>
    </xf>
    <xf numFmtId="41" fontId="0" fillId="0" borderId="9" xfId="1" applyFont="1" applyBorder="1" applyAlignment="1">
      <alignment horizontal="center" vertical="center"/>
    </xf>
    <xf numFmtId="41" fontId="0" fillId="13" borderId="9" xfId="1" applyFont="1" applyFill="1" applyBorder="1" applyAlignment="1">
      <alignment horizontal="center" vertical="center"/>
    </xf>
    <xf numFmtId="41" fontId="0" fillId="13" borderId="34" xfId="1" applyFont="1" applyFill="1" applyBorder="1" applyAlignment="1">
      <alignment horizontal="center" vertical="center"/>
    </xf>
    <xf numFmtId="41" fontId="0" fillId="14" borderId="10" xfId="1" applyFont="1" applyFill="1" applyBorder="1" applyAlignment="1">
      <alignment horizontal="center" vertical="center"/>
    </xf>
    <xf numFmtId="41" fontId="0" fillId="14" borderId="35" xfId="1" applyFont="1" applyFill="1" applyBorder="1" applyAlignment="1">
      <alignment horizontal="center" vertical="center"/>
    </xf>
    <xf numFmtId="41" fontId="0" fillId="18" borderId="8" xfId="1" applyFont="1" applyFill="1" applyBorder="1" applyAlignment="1">
      <alignment horizontal="center" vertical="center"/>
    </xf>
    <xf numFmtId="41" fontId="0" fillId="13" borderId="27" xfId="1" applyFont="1" applyFill="1" applyBorder="1" applyAlignment="1">
      <alignment horizontal="center" vertical="center"/>
    </xf>
    <xf numFmtId="41" fontId="0" fillId="14" borderId="44" xfId="1" applyFont="1" applyFill="1" applyBorder="1" applyAlignment="1">
      <alignment horizontal="center" vertical="center"/>
    </xf>
    <xf numFmtId="41" fontId="0" fillId="18" borderId="8" xfId="1" applyFont="1" applyFill="1" applyBorder="1">
      <alignment vertical="center"/>
    </xf>
    <xf numFmtId="41" fontId="0" fillId="18" borderId="9" xfId="1" applyFont="1" applyFill="1" applyBorder="1">
      <alignment vertical="center"/>
    </xf>
    <xf numFmtId="0" fontId="0" fillId="11" borderId="44" xfId="0" applyFill="1" applyBorder="1">
      <alignment vertical="center"/>
    </xf>
    <xf numFmtId="41" fontId="0" fillId="11" borderId="44" xfId="0" applyNumberFormat="1" applyFill="1" applyBorder="1">
      <alignment vertical="center"/>
    </xf>
    <xf numFmtId="41" fontId="0" fillId="11" borderId="44" xfId="1" applyFont="1" applyFill="1" applyBorder="1">
      <alignment vertical="center"/>
    </xf>
    <xf numFmtId="0" fontId="0" fillId="14" borderId="10" xfId="0" applyFill="1" applyBorder="1">
      <alignment vertical="center"/>
    </xf>
    <xf numFmtId="41" fontId="0" fillId="14" borderId="10" xfId="1" applyFont="1" applyFill="1" applyBorder="1">
      <alignment vertical="center"/>
    </xf>
    <xf numFmtId="41" fontId="0" fillId="14" borderId="33" xfId="1" applyFont="1" applyFill="1" applyBorder="1">
      <alignment vertical="center"/>
    </xf>
    <xf numFmtId="0" fontId="0" fillId="13" borderId="9" xfId="0" applyFill="1" applyBorder="1">
      <alignment vertical="center"/>
    </xf>
    <xf numFmtId="41" fontId="0" fillId="13" borderId="9" xfId="1" applyFont="1" applyFill="1" applyBorder="1">
      <alignment vertical="center"/>
    </xf>
    <xf numFmtId="41" fontId="0" fillId="13" borderId="32" xfId="1" applyFont="1" applyFill="1" applyBorder="1">
      <alignment vertical="center"/>
    </xf>
    <xf numFmtId="0" fontId="10" fillId="18" borderId="67" xfId="0" applyFont="1" applyFill="1" applyBorder="1" applyAlignment="1">
      <alignment vertical="center" wrapText="1"/>
    </xf>
    <xf numFmtId="0" fontId="10" fillId="18" borderId="0" xfId="0" applyFont="1" applyFill="1" applyBorder="1" applyAlignment="1">
      <alignment vertical="center" wrapText="1"/>
    </xf>
    <xf numFmtId="0" fontId="10" fillId="18" borderId="65" xfId="0" applyFont="1" applyFill="1" applyBorder="1" applyAlignment="1">
      <alignment vertical="center" wrapText="1"/>
    </xf>
    <xf numFmtId="0" fontId="10" fillId="0" borderId="0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vertical="center" wrapText="1"/>
    </xf>
    <xf numFmtId="0" fontId="7" fillId="0" borderId="41" xfId="0" applyFont="1" applyBorder="1" applyAlignment="1">
      <alignment horizontal="center" vertical="center"/>
    </xf>
    <xf numFmtId="182" fontId="7" fillId="8" borderId="18" xfId="0" applyNumberFormat="1" applyFont="1" applyFill="1" applyBorder="1" applyAlignment="1">
      <alignment horizontal="center" vertical="center"/>
    </xf>
    <xf numFmtId="182" fontId="7" fillId="0" borderId="22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4" fillId="0" borderId="28" xfId="0" applyFont="1" applyFill="1" applyBorder="1" applyAlignment="1">
      <alignment horizontal="center" vertical="center"/>
    </xf>
    <xf numFmtId="0" fontId="14" fillId="0" borderId="29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7" fillId="0" borderId="46" xfId="0" applyFont="1" applyBorder="1" applyAlignment="1">
      <alignment horizontal="center" vertical="center"/>
    </xf>
    <xf numFmtId="0" fontId="0" fillId="0" borderId="46" xfId="0" applyBorder="1">
      <alignment vertical="center"/>
    </xf>
    <xf numFmtId="0" fontId="0" fillId="0" borderId="54" xfId="0" applyBorder="1">
      <alignment vertical="center"/>
    </xf>
    <xf numFmtId="0" fontId="0" fillId="0" borderId="67" xfId="0" applyBorder="1">
      <alignment vertical="center"/>
    </xf>
    <xf numFmtId="0" fontId="0" fillId="0" borderId="65" xfId="0" applyBorder="1">
      <alignment vertical="center"/>
    </xf>
    <xf numFmtId="0" fontId="0" fillId="0" borderId="65" xfId="0" applyFill="1" applyBorder="1">
      <alignment vertical="center"/>
    </xf>
    <xf numFmtId="0" fontId="7" fillId="0" borderId="67" xfId="0" applyFont="1" applyBorder="1" applyAlignment="1">
      <alignment horizontal="center" vertical="center"/>
    </xf>
    <xf numFmtId="0" fontId="0" fillId="0" borderId="65" xfId="0" applyFill="1" applyBorder="1" applyAlignment="1">
      <alignment vertical="center"/>
    </xf>
    <xf numFmtId="0" fontId="0" fillId="0" borderId="68" xfId="0" applyBorder="1">
      <alignment vertical="center"/>
    </xf>
    <xf numFmtId="0" fontId="0" fillId="0" borderId="69" xfId="0" applyBorder="1">
      <alignment vertical="center"/>
    </xf>
    <xf numFmtId="0" fontId="0" fillId="0" borderId="69" xfId="0" applyFill="1" applyBorder="1">
      <alignment vertical="center"/>
    </xf>
    <xf numFmtId="0" fontId="0" fillId="0" borderId="69" xfId="0" applyFill="1" applyBorder="1" applyAlignment="1">
      <alignment vertical="center"/>
    </xf>
    <xf numFmtId="0" fontId="0" fillId="0" borderId="52" xfId="0" applyFill="1" applyBorder="1" applyAlignment="1">
      <alignment vertical="center"/>
    </xf>
    <xf numFmtId="0" fontId="7" fillId="12" borderId="28" xfId="0" applyFont="1" applyFill="1" applyBorder="1" applyAlignment="1">
      <alignment horizontal="center" vertical="center"/>
    </xf>
    <xf numFmtId="0" fontId="7" fillId="12" borderId="29" xfId="0" applyFont="1" applyFill="1" applyBorder="1" applyAlignment="1">
      <alignment horizontal="center" vertical="center"/>
    </xf>
    <xf numFmtId="182" fontId="7" fillId="0" borderId="1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10" borderId="22" xfId="0" applyFont="1" applyFill="1" applyBorder="1" applyAlignment="1">
      <alignment horizontal="center" vertical="center"/>
    </xf>
    <xf numFmtId="0" fontId="7" fillId="10" borderId="29" xfId="0" applyFont="1" applyFill="1" applyBorder="1" applyAlignment="1">
      <alignment horizontal="center" vertical="center"/>
    </xf>
    <xf numFmtId="0" fontId="7" fillId="10" borderId="28" xfId="0" applyFont="1" applyFill="1" applyBorder="1" applyAlignment="1">
      <alignment horizontal="center" vertical="center"/>
    </xf>
    <xf numFmtId="0" fontId="7" fillId="12" borderId="22" xfId="0" applyFont="1" applyFill="1" applyBorder="1" applyAlignment="1">
      <alignment horizontal="center" vertical="center"/>
    </xf>
    <xf numFmtId="0" fontId="7" fillId="7" borderId="28" xfId="0" applyNumberFormat="1" applyFont="1" applyFill="1" applyBorder="1" applyAlignment="1">
      <alignment horizontal="center" vertical="center"/>
    </xf>
    <xf numFmtId="0" fontId="7" fillId="7" borderId="29" xfId="0" applyNumberFormat="1" applyFont="1" applyFill="1" applyBorder="1" applyAlignment="1">
      <alignment horizontal="center" vertical="center"/>
    </xf>
    <xf numFmtId="0" fontId="7" fillId="0" borderId="37" xfId="0" applyNumberFormat="1" applyFont="1" applyFill="1" applyBorder="1" applyAlignment="1">
      <alignment horizontal="center" vertical="center"/>
    </xf>
    <xf numFmtId="0" fontId="7" fillId="0" borderId="31" xfId="0" applyNumberFormat="1" applyFont="1" applyFill="1" applyBorder="1" applyAlignment="1">
      <alignment horizontal="center" vertical="center"/>
    </xf>
    <xf numFmtId="0" fontId="7" fillId="7" borderId="22" xfId="0" applyNumberFormat="1" applyFont="1" applyFill="1" applyBorder="1" applyAlignment="1">
      <alignment horizontal="center" vertical="center"/>
    </xf>
    <xf numFmtId="0" fontId="7" fillId="0" borderId="36" xfId="0" applyNumberFormat="1" applyFont="1" applyFill="1" applyBorder="1" applyAlignment="1">
      <alignment horizontal="center" vertical="center"/>
    </xf>
    <xf numFmtId="179" fontId="7" fillId="0" borderId="37" xfId="0" applyNumberFormat="1" applyFont="1" applyFill="1" applyBorder="1" applyAlignment="1">
      <alignment horizontal="center" vertical="center"/>
    </xf>
    <xf numFmtId="179" fontId="7" fillId="0" borderId="36" xfId="0" applyNumberFormat="1" applyFont="1" applyFill="1" applyBorder="1" applyAlignment="1">
      <alignment horizontal="center" vertical="center"/>
    </xf>
    <xf numFmtId="179" fontId="7" fillId="0" borderId="31" xfId="0" applyNumberFormat="1" applyFont="1" applyFill="1" applyBorder="1" applyAlignment="1">
      <alignment horizontal="center" vertical="center"/>
    </xf>
    <xf numFmtId="0" fontId="7" fillId="8" borderId="22" xfId="0" applyFont="1" applyFill="1" applyBorder="1" applyAlignment="1">
      <alignment horizontal="center" vertical="center"/>
    </xf>
    <xf numFmtId="0" fontId="7" fillId="8" borderId="29" xfId="0" applyFont="1" applyFill="1" applyBorder="1" applyAlignment="1">
      <alignment horizontal="center" vertical="center"/>
    </xf>
    <xf numFmtId="0" fontId="7" fillId="8" borderId="28" xfId="0" applyFont="1" applyFill="1" applyBorder="1" applyAlignment="1">
      <alignment horizontal="center" vertical="center"/>
    </xf>
    <xf numFmtId="0" fontId="17" fillId="19" borderId="22" xfId="0" applyFont="1" applyFill="1" applyBorder="1" applyAlignment="1">
      <alignment horizontal="center" vertical="center"/>
    </xf>
    <xf numFmtId="0" fontId="17" fillId="19" borderId="29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4" xfId="0" applyFont="1" applyBorder="1" applyAlignment="1">
      <alignment horizontal="left" vertical="center"/>
    </xf>
    <xf numFmtId="0" fontId="7" fillId="0" borderId="53" xfId="0" applyFont="1" applyBorder="1" applyAlignment="1">
      <alignment horizontal="left" vertical="center"/>
    </xf>
    <xf numFmtId="0" fontId="7" fillId="0" borderId="56" xfId="0" applyFont="1" applyBorder="1" applyAlignment="1">
      <alignment horizontal="left" vertical="center"/>
    </xf>
    <xf numFmtId="0" fontId="7" fillId="0" borderId="57" xfId="0" applyFont="1" applyBorder="1" applyAlignment="1">
      <alignment horizontal="left" vertical="center"/>
    </xf>
    <xf numFmtId="0" fontId="7" fillId="0" borderId="19" xfId="0" applyFont="1" applyBorder="1" applyAlignment="1">
      <alignment horizontal="left" vertical="center"/>
    </xf>
    <xf numFmtId="0" fontId="7" fillId="0" borderId="35" xfId="0" applyFont="1" applyBorder="1" applyAlignment="1">
      <alignment horizontal="left" vertical="center"/>
    </xf>
    <xf numFmtId="0" fontId="7" fillId="0" borderId="33" xfId="0" applyFont="1" applyBorder="1" applyAlignment="1">
      <alignment horizontal="left" vertical="center"/>
    </xf>
    <xf numFmtId="0" fontId="17" fillId="19" borderId="14" xfId="0" applyFont="1" applyFill="1" applyBorder="1" applyAlignment="1">
      <alignment horizontal="center" vertical="center"/>
    </xf>
    <xf numFmtId="0" fontId="17" fillId="19" borderId="54" xfId="0" applyFont="1" applyFill="1" applyBorder="1" applyAlignment="1">
      <alignment horizontal="center" vertical="center"/>
    </xf>
    <xf numFmtId="0" fontId="7" fillId="0" borderId="39" xfId="0" applyFont="1" applyBorder="1" applyAlignment="1">
      <alignment horizontal="left" vertical="center"/>
    </xf>
    <xf numFmtId="0" fontId="7" fillId="0" borderId="40" xfId="0" applyFont="1" applyBorder="1" applyAlignment="1">
      <alignment horizontal="left" vertical="center"/>
    </xf>
    <xf numFmtId="0" fontId="7" fillId="0" borderId="41" xfId="0" applyFont="1" applyBorder="1" applyAlignment="1">
      <alignment horizontal="left" vertical="center"/>
    </xf>
    <xf numFmtId="0" fontId="7" fillId="0" borderId="18" xfId="0" applyNumberFormat="1" applyFont="1" applyFill="1" applyBorder="1" applyAlignment="1">
      <alignment horizontal="center" vertical="center"/>
    </xf>
    <xf numFmtId="0" fontId="7" fillId="0" borderId="32" xfId="0" applyNumberFormat="1" applyFont="1" applyFill="1" applyBorder="1" applyAlignment="1">
      <alignment horizontal="center" vertical="center"/>
    </xf>
    <xf numFmtId="0" fontId="7" fillId="0" borderId="19" xfId="0" applyNumberFormat="1" applyFont="1" applyFill="1" applyBorder="1" applyAlignment="1">
      <alignment horizontal="center" vertical="center"/>
    </xf>
    <xf numFmtId="0" fontId="7" fillId="0" borderId="33" xfId="0" applyNumberFormat="1" applyFont="1" applyFill="1" applyBorder="1" applyAlignment="1">
      <alignment horizontal="center" vertical="center"/>
    </xf>
    <xf numFmtId="0" fontId="7" fillId="0" borderId="42" xfId="0" applyFont="1" applyFill="1" applyBorder="1" applyAlignment="1">
      <alignment horizontal="center" vertical="center"/>
    </xf>
    <xf numFmtId="0" fontId="7" fillId="0" borderId="43" xfId="0" applyFont="1" applyFill="1" applyBorder="1" applyAlignment="1">
      <alignment horizontal="center" vertical="center"/>
    </xf>
    <xf numFmtId="0" fontId="7" fillId="0" borderId="44" xfId="0" applyFont="1" applyFill="1" applyBorder="1" applyAlignment="1">
      <alignment horizontal="center" vertical="center"/>
    </xf>
    <xf numFmtId="0" fontId="8" fillId="2" borderId="22" xfId="2" applyFont="1" applyFill="1" applyBorder="1" applyAlignment="1">
      <alignment horizontal="center" vertical="center"/>
    </xf>
    <xf numFmtId="0" fontId="8" fillId="2" borderId="28" xfId="2" applyFont="1" applyFill="1" applyBorder="1" applyAlignment="1">
      <alignment horizontal="center" vertical="center"/>
    </xf>
    <xf numFmtId="0" fontId="8" fillId="2" borderId="29" xfId="2" applyFont="1" applyFill="1" applyBorder="1" applyAlignment="1">
      <alignment horizontal="center" vertical="center"/>
    </xf>
    <xf numFmtId="0" fontId="7" fillId="9" borderId="42" xfId="0" applyFont="1" applyFill="1" applyBorder="1" applyAlignment="1">
      <alignment horizontal="center" vertical="center"/>
    </xf>
    <xf numFmtId="0" fontId="7" fillId="9" borderId="43" xfId="0" applyFont="1" applyFill="1" applyBorder="1" applyAlignment="1">
      <alignment horizontal="center" vertical="center"/>
    </xf>
    <xf numFmtId="0" fontId="7" fillId="9" borderId="44" xfId="0" applyFont="1" applyFill="1" applyBorder="1" applyAlignment="1">
      <alignment horizontal="center" vertical="center"/>
    </xf>
    <xf numFmtId="0" fontId="7" fillId="8" borderId="42" xfId="0" applyFont="1" applyFill="1" applyBorder="1" applyAlignment="1">
      <alignment horizontal="center" vertical="center"/>
    </xf>
    <xf numFmtId="0" fontId="7" fillId="8" borderId="43" xfId="0" applyFont="1" applyFill="1" applyBorder="1" applyAlignment="1">
      <alignment horizontal="center" vertical="center"/>
    </xf>
    <xf numFmtId="0" fontId="7" fillId="8" borderId="44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8" fillId="2" borderId="29" xfId="0" applyFont="1" applyFill="1" applyBorder="1" applyAlignment="1">
      <alignment horizontal="center" vertical="center"/>
    </xf>
    <xf numFmtId="0" fontId="7" fillId="0" borderId="34" xfId="0" applyNumberFormat="1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0" fontId="6" fillId="2" borderId="28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8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 vertical="center"/>
    </xf>
    <xf numFmtId="0" fontId="5" fillId="5" borderId="28" xfId="0" applyFont="1" applyFill="1" applyBorder="1" applyAlignment="1">
      <alignment horizontal="center" vertical="center"/>
    </xf>
    <xf numFmtId="0" fontId="5" fillId="5" borderId="29" xfId="0" applyFont="1" applyFill="1" applyBorder="1" applyAlignment="1">
      <alignment horizontal="center" vertical="center"/>
    </xf>
    <xf numFmtId="179" fontId="7" fillId="0" borderId="19" xfId="0" applyNumberFormat="1" applyFont="1" applyFill="1" applyBorder="1" applyAlignment="1">
      <alignment horizontal="center" vertical="center"/>
    </xf>
    <xf numFmtId="179" fontId="7" fillId="0" borderId="35" xfId="0" applyNumberFormat="1" applyFont="1" applyFill="1" applyBorder="1" applyAlignment="1">
      <alignment horizontal="center" vertical="center"/>
    </xf>
    <xf numFmtId="179" fontId="7" fillId="0" borderId="33" xfId="0" applyNumberFormat="1" applyFont="1" applyFill="1" applyBorder="1" applyAlignment="1">
      <alignment horizontal="center" vertical="center"/>
    </xf>
    <xf numFmtId="0" fontId="7" fillId="9" borderId="11" xfId="0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7" fillId="9" borderId="58" xfId="0" applyFont="1" applyFill="1" applyBorder="1" applyAlignment="1">
      <alignment horizontal="center" vertical="center"/>
    </xf>
    <xf numFmtId="0" fontId="7" fillId="9" borderId="59" xfId="0" applyFont="1" applyFill="1" applyBorder="1" applyAlignment="1">
      <alignment horizontal="center" vertical="center"/>
    </xf>
    <xf numFmtId="0" fontId="7" fillId="8" borderId="58" xfId="0" applyFont="1" applyFill="1" applyBorder="1" applyAlignment="1">
      <alignment horizontal="center" vertical="center"/>
    </xf>
    <xf numFmtId="0" fontId="7" fillId="8" borderId="59" xfId="0" applyFont="1" applyFill="1" applyBorder="1" applyAlignment="1">
      <alignment horizontal="center" vertical="center"/>
    </xf>
    <xf numFmtId="0" fontId="7" fillId="0" borderId="35" xfId="0" applyNumberFormat="1" applyFont="1" applyFill="1" applyBorder="1" applyAlignment="1">
      <alignment horizontal="center" vertical="center"/>
    </xf>
    <xf numFmtId="0" fontId="17" fillId="19" borderId="28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46" xfId="0" applyFont="1" applyFill="1" applyBorder="1" applyAlignment="1">
      <alignment horizontal="center" vertical="center"/>
    </xf>
    <xf numFmtId="0" fontId="8" fillId="2" borderId="54" xfId="0" applyFont="1" applyFill="1" applyBorder="1" applyAlignment="1">
      <alignment horizontal="center" vertical="center"/>
    </xf>
    <xf numFmtId="0" fontId="7" fillId="10" borderId="42" xfId="0" applyFont="1" applyFill="1" applyBorder="1" applyAlignment="1">
      <alignment horizontal="center" vertical="center"/>
    </xf>
    <xf numFmtId="0" fontId="7" fillId="10" borderId="43" xfId="0" applyFont="1" applyFill="1" applyBorder="1" applyAlignment="1">
      <alignment horizontal="center" vertical="center"/>
    </xf>
    <xf numFmtId="0" fontId="7" fillId="10" borderId="44" xfId="0" applyFont="1" applyFill="1" applyBorder="1" applyAlignment="1">
      <alignment horizontal="center" vertical="center"/>
    </xf>
    <xf numFmtId="0" fontId="22" fillId="19" borderId="22" xfId="0" applyFont="1" applyFill="1" applyBorder="1" applyAlignment="1">
      <alignment horizontal="center" vertical="center"/>
    </xf>
    <xf numFmtId="0" fontId="22" fillId="19" borderId="29" xfId="0" applyFont="1" applyFill="1" applyBorder="1" applyAlignment="1">
      <alignment horizontal="center" vertical="center"/>
    </xf>
    <xf numFmtId="0" fontId="7" fillId="10" borderId="58" xfId="0" applyFont="1" applyFill="1" applyBorder="1" applyAlignment="1">
      <alignment horizontal="center" vertical="center"/>
    </xf>
    <xf numFmtId="0" fontId="7" fillId="10" borderId="59" xfId="0" applyFont="1" applyFill="1" applyBorder="1" applyAlignment="1">
      <alignment horizontal="center" vertical="center"/>
    </xf>
    <xf numFmtId="0" fontId="7" fillId="12" borderId="58" xfId="0" applyFont="1" applyFill="1" applyBorder="1" applyAlignment="1">
      <alignment horizontal="center" vertical="center"/>
    </xf>
    <xf numFmtId="0" fontId="7" fillId="12" borderId="59" xfId="0" applyFont="1" applyFill="1" applyBorder="1" applyAlignment="1">
      <alignment horizontal="center" vertical="center"/>
    </xf>
    <xf numFmtId="0" fontId="7" fillId="12" borderId="43" xfId="0" applyFont="1" applyFill="1" applyBorder="1" applyAlignment="1">
      <alignment horizontal="center" vertical="center"/>
    </xf>
    <xf numFmtId="0" fontId="7" fillId="12" borderId="44" xfId="0" applyFont="1" applyFill="1" applyBorder="1" applyAlignment="1">
      <alignment horizontal="center" vertical="center"/>
    </xf>
    <xf numFmtId="0" fontId="7" fillId="0" borderId="4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10" fillId="18" borderId="67" xfId="0" applyFont="1" applyFill="1" applyBorder="1" applyAlignment="1">
      <alignment horizontal="left" vertical="center" wrapText="1"/>
    </xf>
    <xf numFmtId="0" fontId="10" fillId="18" borderId="0" xfId="0" applyFont="1" applyFill="1" applyBorder="1" applyAlignment="1">
      <alignment horizontal="left" vertical="center"/>
    </xf>
    <xf numFmtId="0" fontId="10" fillId="18" borderId="65" xfId="0" applyFont="1" applyFill="1" applyBorder="1" applyAlignment="1">
      <alignment horizontal="left" vertical="center"/>
    </xf>
    <xf numFmtId="0" fontId="10" fillId="18" borderId="67" xfId="0" applyFont="1" applyFill="1" applyBorder="1" applyAlignment="1">
      <alignment horizontal="left" vertical="center"/>
    </xf>
    <xf numFmtId="0" fontId="18" fillId="15" borderId="22" xfId="0" applyFont="1" applyFill="1" applyBorder="1" applyAlignment="1">
      <alignment horizontal="center" vertical="center"/>
    </xf>
    <xf numFmtId="0" fontId="18" fillId="15" borderId="28" xfId="0" applyFont="1" applyFill="1" applyBorder="1" applyAlignment="1">
      <alignment horizontal="center" vertical="center"/>
    </xf>
    <xf numFmtId="0" fontId="18" fillId="15" borderId="29" xfId="0" applyFont="1" applyFill="1" applyBorder="1" applyAlignment="1">
      <alignment horizontal="center" vertical="center"/>
    </xf>
    <xf numFmtId="0" fontId="10" fillId="18" borderId="14" xfId="0" applyFont="1" applyFill="1" applyBorder="1" applyAlignment="1">
      <alignment horizontal="left" vertical="center"/>
    </xf>
    <xf numFmtId="0" fontId="10" fillId="18" borderId="46" xfId="0" applyFont="1" applyFill="1" applyBorder="1" applyAlignment="1">
      <alignment horizontal="left" vertical="center"/>
    </xf>
    <xf numFmtId="0" fontId="10" fillId="18" borderId="54" xfId="0" applyFont="1" applyFill="1" applyBorder="1" applyAlignment="1">
      <alignment horizontal="left" vertical="center"/>
    </xf>
    <xf numFmtId="0" fontId="10" fillId="18" borderId="67" xfId="0" applyFont="1" applyFill="1" applyBorder="1" applyAlignment="1">
      <alignment horizontal="center" vertical="center"/>
    </xf>
    <xf numFmtId="0" fontId="10" fillId="18" borderId="0" xfId="0" applyFont="1" applyFill="1" applyBorder="1" applyAlignment="1">
      <alignment horizontal="center" vertical="center"/>
    </xf>
    <xf numFmtId="0" fontId="10" fillId="18" borderId="65" xfId="0" applyFont="1" applyFill="1" applyBorder="1" applyAlignment="1">
      <alignment horizontal="center" vertical="center"/>
    </xf>
    <xf numFmtId="0" fontId="10" fillId="18" borderId="0" xfId="0" applyFont="1" applyFill="1" applyBorder="1" applyAlignment="1">
      <alignment horizontal="left" vertical="center" wrapText="1"/>
    </xf>
    <xf numFmtId="0" fontId="10" fillId="18" borderId="65" xfId="0" applyFont="1" applyFill="1" applyBorder="1" applyAlignment="1">
      <alignment horizontal="left" vertical="center" wrapText="1"/>
    </xf>
    <xf numFmtId="0" fontId="17" fillId="2" borderId="22" xfId="0" applyFont="1" applyFill="1" applyBorder="1" applyAlignment="1">
      <alignment horizontal="center" vertical="center"/>
    </xf>
    <xf numFmtId="0" fontId="17" fillId="2" borderId="29" xfId="0" applyFont="1" applyFill="1" applyBorder="1" applyAlignment="1">
      <alignment horizontal="center" vertical="center"/>
    </xf>
    <xf numFmtId="185" fontId="0" fillId="0" borderId="22" xfId="0" applyNumberFormat="1" applyFill="1" applyBorder="1" applyAlignment="1">
      <alignment horizontal="center" vertical="center"/>
    </xf>
    <xf numFmtId="185" fontId="0" fillId="0" borderId="29" xfId="0" applyNumberFormat="1" applyFill="1" applyBorder="1" applyAlignment="1">
      <alignment horizontal="center" vertical="center"/>
    </xf>
    <xf numFmtId="186" fontId="0" fillId="0" borderId="22" xfId="0" applyNumberFormat="1" applyBorder="1" applyAlignment="1">
      <alignment horizontal="center" vertical="center"/>
    </xf>
    <xf numFmtId="186" fontId="0" fillId="0" borderId="29" xfId="0" applyNumberFormat="1" applyBorder="1" applyAlignment="1">
      <alignment horizontal="center" vertical="center"/>
    </xf>
    <xf numFmtId="183" fontId="0" fillId="0" borderId="22" xfId="0" applyNumberFormat="1" applyFill="1" applyBorder="1" applyAlignment="1">
      <alignment horizontal="center" vertical="center"/>
    </xf>
    <xf numFmtId="183" fontId="0" fillId="0" borderId="29" xfId="0" applyNumberFormat="1" applyFill="1" applyBorder="1" applyAlignment="1">
      <alignment horizontal="center" vertical="center"/>
    </xf>
    <xf numFmtId="184" fontId="0" fillId="0" borderId="22" xfId="0" applyNumberFormat="1" applyFill="1" applyBorder="1" applyAlignment="1">
      <alignment horizontal="center" vertical="center"/>
    </xf>
    <xf numFmtId="184" fontId="0" fillId="0" borderId="29" xfId="0" applyNumberFormat="1" applyFill="1" applyBorder="1" applyAlignment="1">
      <alignment horizontal="center" vertical="center"/>
    </xf>
    <xf numFmtId="185" fontId="15" fillId="0" borderId="22" xfId="0" applyNumberFormat="1" applyFont="1" applyFill="1" applyBorder="1" applyAlignment="1">
      <alignment horizontal="center" vertical="center"/>
    </xf>
    <xf numFmtId="185" fontId="15" fillId="0" borderId="29" xfId="0" applyNumberFormat="1" applyFont="1" applyFill="1" applyBorder="1" applyAlignment="1">
      <alignment horizontal="center" vertical="center"/>
    </xf>
    <xf numFmtId="0" fontId="10" fillId="18" borderId="68" xfId="0" applyFont="1" applyFill="1" applyBorder="1" applyAlignment="1">
      <alignment horizontal="left" vertical="center"/>
    </xf>
    <xf numFmtId="0" fontId="10" fillId="18" borderId="69" xfId="0" applyFont="1" applyFill="1" applyBorder="1" applyAlignment="1">
      <alignment horizontal="left" vertical="center"/>
    </xf>
    <xf numFmtId="0" fontId="10" fillId="18" borderId="52" xfId="0" applyFont="1" applyFill="1" applyBorder="1" applyAlignment="1">
      <alignment horizontal="left" vertical="center"/>
    </xf>
    <xf numFmtId="0" fontId="0" fillId="15" borderId="14" xfId="0" applyFill="1" applyBorder="1" applyAlignment="1">
      <alignment horizontal="center" vertical="center"/>
    </xf>
    <xf numFmtId="0" fontId="0" fillId="15" borderId="46" xfId="0" applyFill="1" applyBorder="1" applyAlignment="1">
      <alignment horizontal="center" vertical="center"/>
    </xf>
    <xf numFmtId="0" fontId="0" fillId="15" borderId="54" xfId="0" applyFill="1" applyBorder="1" applyAlignment="1">
      <alignment horizontal="center" vertical="center"/>
    </xf>
    <xf numFmtId="0" fontId="0" fillId="15" borderId="68" xfId="0" applyFill="1" applyBorder="1" applyAlignment="1">
      <alignment horizontal="center" vertical="center"/>
    </xf>
    <xf numFmtId="0" fontId="0" fillId="15" borderId="69" xfId="0" applyFill="1" applyBorder="1" applyAlignment="1">
      <alignment horizontal="center" vertical="center"/>
    </xf>
    <xf numFmtId="0" fontId="0" fillId="15" borderId="52" xfId="0" applyFill="1" applyBorder="1" applyAlignment="1">
      <alignment horizontal="center" vertical="center"/>
    </xf>
    <xf numFmtId="49" fontId="0" fillId="17" borderId="14" xfId="0" applyNumberFormat="1" applyFill="1" applyBorder="1" applyAlignment="1">
      <alignment horizontal="center" vertical="center"/>
    </xf>
    <xf numFmtId="49" fontId="0" fillId="17" borderId="46" xfId="0" applyNumberFormat="1" applyFill="1" applyBorder="1" applyAlignment="1">
      <alignment horizontal="center" vertical="center"/>
    </xf>
    <xf numFmtId="49" fontId="0" fillId="17" borderId="54" xfId="0" applyNumberFormat="1" applyFill="1" applyBorder="1" applyAlignment="1">
      <alignment horizontal="center" vertical="center"/>
    </xf>
    <xf numFmtId="49" fontId="0" fillId="17" borderId="68" xfId="0" applyNumberFormat="1" applyFill="1" applyBorder="1" applyAlignment="1">
      <alignment horizontal="center" vertical="center"/>
    </xf>
    <xf numFmtId="49" fontId="0" fillId="17" borderId="69" xfId="0" applyNumberFormat="1" applyFill="1" applyBorder="1" applyAlignment="1">
      <alignment horizontal="center" vertical="center"/>
    </xf>
    <xf numFmtId="49" fontId="0" fillId="17" borderId="52" xfId="0" applyNumberFormat="1" applyFill="1" applyBorder="1" applyAlignment="1">
      <alignment horizontal="center" vertical="center"/>
    </xf>
    <xf numFmtId="0" fontId="0" fillId="17" borderId="67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7" borderId="65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0" fillId="17" borderId="69" xfId="0" applyFill="1" applyBorder="1" applyAlignment="1">
      <alignment horizontal="center" vertical="center"/>
    </xf>
    <xf numFmtId="0" fontId="0" fillId="17" borderId="52" xfId="0" applyFill="1" applyBorder="1" applyAlignment="1">
      <alignment horizontal="center" vertical="center"/>
    </xf>
    <xf numFmtId="0" fontId="0" fillId="17" borderId="14" xfId="0" applyFill="1" applyBorder="1" applyAlignment="1">
      <alignment horizontal="center" vertical="center"/>
    </xf>
    <xf numFmtId="0" fontId="0" fillId="17" borderId="46" xfId="0" applyFill="1" applyBorder="1" applyAlignment="1">
      <alignment horizontal="center" vertical="center"/>
    </xf>
    <xf numFmtId="0" fontId="0" fillId="17" borderId="54" xfId="0" applyFill="1" applyBorder="1" applyAlignment="1">
      <alignment horizontal="center" vertical="center"/>
    </xf>
    <xf numFmtId="0" fontId="0" fillId="17" borderId="66" xfId="0" applyFill="1" applyBorder="1" applyAlignment="1">
      <alignment horizontal="center" vertical="center"/>
    </xf>
    <xf numFmtId="0" fontId="0" fillId="17" borderId="38" xfId="0" applyFill="1" applyBorder="1" applyAlignment="1">
      <alignment horizontal="center" vertical="center"/>
    </xf>
    <xf numFmtId="0" fontId="0" fillId="17" borderId="51" xfId="0" applyFill="1" applyBorder="1" applyAlignment="1">
      <alignment horizontal="center" vertical="center"/>
    </xf>
    <xf numFmtId="0" fontId="0" fillId="17" borderId="19" xfId="0" applyFill="1" applyBorder="1" applyAlignment="1">
      <alignment horizontal="center" vertical="center"/>
    </xf>
    <xf numFmtId="0" fontId="0" fillId="17" borderId="35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4" fillId="16" borderId="22" xfId="0" applyFont="1" applyFill="1" applyBorder="1" applyAlignment="1">
      <alignment horizontal="center" vertical="center"/>
    </xf>
    <xf numFmtId="0" fontId="16" fillId="16" borderId="28" xfId="0" applyFont="1" applyFill="1" applyBorder="1" applyAlignment="1">
      <alignment horizontal="center" vertical="center"/>
    </xf>
    <xf numFmtId="0" fontId="16" fillId="16" borderId="29" xfId="0" applyFont="1" applyFill="1" applyBorder="1" applyAlignment="1">
      <alignment horizontal="center" vertical="center"/>
    </xf>
    <xf numFmtId="49" fontId="0" fillId="17" borderId="37" xfId="0" applyNumberFormat="1" applyFill="1" applyBorder="1" applyAlignment="1">
      <alignment horizontal="center" vertical="center"/>
    </xf>
    <xf numFmtId="49" fontId="0" fillId="17" borderId="36" xfId="0" applyNumberFormat="1" applyFill="1" applyBorder="1" applyAlignment="1">
      <alignment horizontal="center" vertical="center"/>
    </xf>
    <xf numFmtId="49" fontId="0" fillId="17" borderId="31" xfId="0" applyNumberFormat="1" applyFill="1" applyBorder="1" applyAlignment="1">
      <alignment horizontal="center" vertical="center"/>
    </xf>
    <xf numFmtId="49" fontId="0" fillId="17" borderId="19" xfId="0" applyNumberFormat="1" applyFill="1" applyBorder="1" applyAlignment="1">
      <alignment horizontal="center" vertical="center"/>
    </xf>
    <xf numFmtId="49" fontId="0" fillId="17" borderId="35" xfId="0" applyNumberFormat="1" applyFill="1" applyBorder="1" applyAlignment="1">
      <alignment horizontal="center" vertical="center"/>
    </xf>
    <xf numFmtId="49" fontId="0" fillId="17" borderId="33" xfId="0" applyNumberFormat="1" applyFill="1" applyBorder="1" applyAlignment="1">
      <alignment horizontal="center" vertical="center"/>
    </xf>
  </cellXfs>
  <cellStyles count="4">
    <cellStyle name="40% - 강조색5" xfId="3" builtinId="47"/>
    <cellStyle name="강조색5" xfId="2" builtinId="4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각 직업별 </a:t>
            </a:r>
            <a:r>
              <a:rPr lang="en-US" altLang="ko-KR"/>
              <a:t>1</a:t>
            </a:r>
            <a:r>
              <a:rPr lang="ko-KR" altLang="en-US"/>
              <a:t>레벨 스탯</a:t>
            </a:r>
          </a:p>
        </c:rich>
      </c:tx>
      <c:layout/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'PVP 시뮬레이션'!$B$7</c:f>
              <c:strCache>
                <c:ptCount val="1"/>
                <c:pt idx="0">
                  <c:v>기사</c:v>
                </c:pt>
              </c:strCache>
            </c:strRef>
          </c:tx>
          <c:cat>
            <c:strRef>
              <c:f>'PVP 시뮬레이션'!$C$6:$F$6</c:f>
              <c:strCache>
                <c:ptCount val="4"/>
                <c:pt idx="0">
                  <c:v>체력</c:v>
                </c:pt>
                <c:pt idx="1">
                  <c:v>힘</c:v>
                </c:pt>
                <c:pt idx="2">
                  <c:v>민첩</c:v>
                </c:pt>
                <c:pt idx="3">
                  <c:v>지력</c:v>
                </c:pt>
              </c:strCache>
            </c:strRef>
          </c:cat>
          <c:val>
            <c:numRef>
              <c:f>'PVP 시뮬레이션'!$C$7:$F$7</c:f>
              <c:numCache>
                <c:formatCode>General</c:formatCode>
                <c:ptCount val="4"/>
                <c:pt idx="0">
                  <c:v>12</c:v>
                </c:pt>
                <c:pt idx="1">
                  <c:v>15</c:v>
                </c:pt>
                <c:pt idx="2">
                  <c:v>7</c:v>
                </c:pt>
                <c:pt idx="3">
                  <c:v>1</c:v>
                </c:pt>
              </c:numCache>
            </c:numRef>
          </c:val>
        </c:ser>
        <c:ser>
          <c:idx val="1"/>
          <c:order val="1"/>
          <c:tx>
            <c:strRef>
              <c:f>'PVP 시뮬레이션'!$B$8</c:f>
              <c:strCache>
                <c:ptCount val="1"/>
                <c:pt idx="0">
                  <c:v>도적</c:v>
                </c:pt>
              </c:strCache>
            </c:strRef>
          </c:tx>
          <c:cat>
            <c:strRef>
              <c:f>'PVP 시뮬레이션'!$C$6:$F$6</c:f>
              <c:strCache>
                <c:ptCount val="4"/>
                <c:pt idx="0">
                  <c:v>체력</c:v>
                </c:pt>
                <c:pt idx="1">
                  <c:v>힘</c:v>
                </c:pt>
                <c:pt idx="2">
                  <c:v>민첩</c:v>
                </c:pt>
                <c:pt idx="3">
                  <c:v>지력</c:v>
                </c:pt>
              </c:strCache>
            </c:strRef>
          </c:cat>
          <c:val>
            <c:numRef>
              <c:f>'PVP 시뮬레이션'!$C$8:$F$8</c:f>
              <c:numCache>
                <c:formatCode>General</c:formatCode>
                <c:ptCount val="4"/>
                <c:pt idx="0">
                  <c:v>8</c:v>
                </c:pt>
                <c:pt idx="1">
                  <c:v>11</c:v>
                </c:pt>
                <c:pt idx="2">
                  <c:v>15</c:v>
                </c:pt>
                <c:pt idx="3">
                  <c:v>1</c:v>
                </c:pt>
              </c:numCache>
            </c:numRef>
          </c:val>
        </c:ser>
        <c:ser>
          <c:idx val="2"/>
          <c:order val="2"/>
          <c:tx>
            <c:strRef>
              <c:f>'PVP 시뮬레이션'!$B$9</c:f>
              <c:strCache>
                <c:ptCount val="1"/>
                <c:pt idx="0">
                  <c:v>궁수</c:v>
                </c:pt>
              </c:strCache>
            </c:strRef>
          </c:tx>
          <c:cat>
            <c:strRef>
              <c:f>'PVP 시뮬레이션'!$C$6:$F$6</c:f>
              <c:strCache>
                <c:ptCount val="4"/>
                <c:pt idx="0">
                  <c:v>체력</c:v>
                </c:pt>
                <c:pt idx="1">
                  <c:v>힘</c:v>
                </c:pt>
                <c:pt idx="2">
                  <c:v>민첩</c:v>
                </c:pt>
                <c:pt idx="3">
                  <c:v>지력</c:v>
                </c:pt>
              </c:strCache>
            </c:strRef>
          </c:cat>
          <c:val>
            <c:numRef>
              <c:f>'PVP 시뮬레이션'!$C$9:$F$9</c:f>
              <c:numCache>
                <c:formatCode>General</c:formatCode>
                <c:ptCount val="4"/>
                <c:pt idx="0">
                  <c:v>6</c:v>
                </c:pt>
                <c:pt idx="1">
                  <c:v>12</c:v>
                </c:pt>
                <c:pt idx="2">
                  <c:v>15</c:v>
                </c:pt>
                <c:pt idx="3">
                  <c:v>2</c:v>
                </c:pt>
              </c:numCache>
            </c:numRef>
          </c:val>
        </c:ser>
        <c:ser>
          <c:idx val="3"/>
          <c:order val="3"/>
          <c:tx>
            <c:strRef>
              <c:f>'PVP 시뮬레이션'!$B$10</c:f>
              <c:strCache>
                <c:ptCount val="1"/>
                <c:pt idx="0">
                  <c:v>법사</c:v>
                </c:pt>
              </c:strCache>
            </c:strRef>
          </c:tx>
          <c:cat>
            <c:strRef>
              <c:f>'PVP 시뮬레이션'!$C$6:$F$6</c:f>
              <c:strCache>
                <c:ptCount val="4"/>
                <c:pt idx="0">
                  <c:v>체력</c:v>
                </c:pt>
                <c:pt idx="1">
                  <c:v>힘</c:v>
                </c:pt>
                <c:pt idx="2">
                  <c:v>민첩</c:v>
                </c:pt>
                <c:pt idx="3">
                  <c:v>지력</c:v>
                </c:pt>
              </c:strCache>
            </c:strRef>
          </c:cat>
          <c:val>
            <c:numRef>
              <c:f>'PVP 시뮬레이션'!$C$10:$F$10</c:f>
              <c:numCache>
                <c:formatCode>General</c:formatCode>
                <c:ptCount val="4"/>
                <c:pt idx="0">
                  <c:v>7</c:v>
                </c:pt>
                <c:pt idx="1">
                  <c:v>5</c:v>
                </c:pt>
                <c:pt idx="2">
                  <c:v>8</c:v>
                </c:pt>
                <c:pt idx="3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38560"/>
        <c:axId val="89482944"/>
      </c:radarChart>
      <c:catAx>
        <c:axId val="99138560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spPr>
          <a:ln w="9525">
            <a:noFill/>
          </a:ln>
        </c:spPr>
        <c:crossAx val="89482944"/>
        <c:crosses val="autoZero"/>
        <c:auto val="1"/>
        <c:lblAlgn val="ctr"/>
        <c:lblOffset val="100"/>
        <c:noMultiLvlLbl val="0"/>
      </c:catAx>
      <c:valAx>
        <c:axId val="8948294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91385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각 직업별 </a:t>
            </a:r>
            <a:r>
              <a:rPr lang="en-US" altLang="ko-KR"/>
              <a:t>DPS</a:t>
            </a:r>
            <a:endParaRPr lang="ko-KR" alt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'PVP 시뮬레이션'!$C$50:$D$50</c:f>
              <c:strCache>
                <c:ptCount val="1"/>
                <c:pt idx="0">
                  <c:v>기사</c:v>
                </c:pt>
              </c:strCache>
            </c:strRef>
          </c:tx>
          <c:marker>
            <c:symbol val="none"/>
          </c:marker>
          <c:val>
            <c:numRef>
              <c:f>'PVP 시뮬레이션'!$C$52:$C$151</c:f>
              <c:numCache>
                <c:formatCode>General</c:formatCode>
                <c:ptCount val="100"/>
                <c:pt idx="0">
                  <c:v>438</c:v>
                </c:pt>
                <c:pt idx="1">
                  <c:v>875</c:v>
                </c:pt>
                <c:pt idx="2">
                  <c:v>1313</c:v>
                </c:pt>
                <c:pt idx="3">
                  <c:v>1750</c:v>
                </c:pt>
                <c:pt idx="4">
                  <c:v>2188</c:v>
                </c:pt>
                <c:pt idx="5">
                  <c:v>2625</c:v>
                </c:pt>
                <c:pt idx="6">
                  <c:v>3063</c:v>
                </c:pt>
                <c:pt idx="7">
                  <c:v>3500</c:v>
                </c:pt>
                <c:pt idx="8">
                  <c:v>3938</c:v>
                </c:pt>
                <c:pt idx="9">
                  <c:v>4375</c:v>
                </c:pt>
                <c:pt idx="10">
                  <c:v>4813</c:v>
                </c:pt>
                <c:pt idx="11">
                  <c:v>5250</c:v>
                </c:pt>
                <c:pt idx="12">
                  <c:v>5688</c:v>
                </c:pt>
                <c:pt idx="13">
                  <c:v>6125</c:v>
                </c:pt>
                <c:pt idx="14">
                  <c:v>6563</c:v>
                </c:pt>
                <c:pt idx="15">
                  <c:v>7000</c:v>
                </c:pt>
                <c:pt idx="16">
                  <c:v>7438</c:v>
                </c:pt>
                <c:pt idx="17">
                  <c:v>7875</c:v>
                </c:pt>
                <c:pt idx="18">
                  <c:v>8313</c:v>
                </c:pt>
                <c:pt idx="19">
                  <c:v>8750</c:v>
                </c:pt>
                <c:pt idx="20">
                  <c:v>9188</c:v>
                </c:pt>
                <c:pt idx="21">
                  <c:v>9625</c:v>
                </c:pt>
                <c:pt idx="22">
                  <c:v>10063</c:v>
                </c:pt>
                <c:pt idx="23">
                  <c:v>10500</c:v>
                </c:pt>
                <c:pt idx="24">
                  <c:v>10938</c:v>
                </c:pt>
                <c:pt idx="25">
                  <c:v>11375</c:v>
                </c:pt>
                <c:pt idx="26">
                  <c:v>11813</c:v>
                </c:pt>
                <c:pt idx="27">
                  <c:v>12250</c:v>
                </c:pt>
                <c:pt idx="28">
                  <c:v>12688</c:v>
                </c:pt>
                <c:pt idx="29">
                  <c:v>13125</c:v>
                </c:pt>
                <c:pt idx="30">
                  <c:v>13563</c:v>
                </c:pt>
                <c:pt idx="31">
                  <c:v>14000</c:v>
                </c:pt>
                <c:pt idx="32">
                  <c:v>14438</c:v>
                </c:pt>
                <c:pt idx="33">
                  <c:v>14875</c:v>
                </c:pt>
                <c:pt idx="34">
                  <c:v>15313</c:v>
                </c:pt>
                <c:pt idx="35">
                  <c:v>15750</c:v>
                </c:pt>
                <c:pt idx="36">
                  <c:v>16188</c:v>
                </c:pt>
                <c:pt idx="37">
                  <c:v>16625</c:v>
                </c:pt>
                <c:pt idx="38">
                  <c:v>17063</c:v>
                </c:pt>
                <c:pt idx="39">
                  <c:v>17500</c:v>
                </c:pt>
                <c:pt idx="40">
                  <c:v>17938</c:v>
                </c:pt>
                <c:pt idx="41">
                  <c:v>18375</c:v>
                </c:pt>
                <c:pt idx="42">
                  <c:v>18813</c:v>
                </c:pt>
                <c:pt idx="43">
                  <c:v>19250</c:v>
                </c:pt>
                <c:pt idx="44">
                  <c:v>19688</c:v>
                </c:pt>
                <c:pt idx="45">
                  <c:v>20125</c:v>
                </c:pt>
                <c:pt idx="46">
                  <c:v>20563</c:v>
                </c:pt>
                <c:pt idx="47">
                  <c:v>21000</c:v>
                </c:pt>
                <c:pt idx="48">
                  <c:v>21438</c:v>
                </c:pt>
                <c:pt idx="49">
                  <c:v>21875</c:v>
                </c:pt>
                <c:pt idx="50">
                  <c:v>22313</c:v>
                </c:pt>
                <c:pt idx="51">
                  <c:v>22750</c:v>
                </c:pt>
                <c:pt idx="52">
                  <c:v>23188</c:v>
                </c:pt>
                <c:pt idx="53">
                  <c:v>23625</c:v>
                </c:pt>
                <c:pt idx="54">
                  <c:v>24063</c:v>
                </c:pt>
                <c:pt idx="55">
                  <c:v>24500</c:v>
                </c:pt>
                <c:pt idx="56">
                  <c:v>24938</c:v>
                </c:pt>
                <c:pt idx="57">
                  <c:v>25375</c:v>
                </c:pt>
                <c:pt idx="58">
                  <c:v>25813</c:v>
                </c:pt>
                <c:pt idx="59">
                  <c:v>26250</c:v>
                </c:pt>
                <c:pt idx="60">
                  <c:v>26688</c:v>
                </c:pt>
                <c:pt idx="61">
                  <c:v>27125</c:v>
                </c:pt>
                <c:pt idx="62">
                  <c:v>27563</c:v>
                </c:pt>
                <c:pt idx="63">
                  <c:v>28000</c:v>
                </c:pt>
                <c:pt idx="64">
                  <c:v>28438</c:v>
                </c:pt>
                <c:pt idx="65">
                  <c:v>28875</c:v>
                </c:pt>
                <c:pt idx="66">
                  <c:v>29313</c:v>
                </c:pt>
                <c:pt idx="67">
                  <c:v>29750</c:v>
                </c:pt>
                <c:pt idx="68">
                  <c:v>30188</c:v>
                </c:pt>
                <c:pt idx="69">
                  <c:v>30625</c:v>
                </c:pt>
                <c:pt idx="70">
                  <c:v>31063</c:v>
                </c:pt>
                <c:pt idx="71">
                  <c:v>31500</c:v>
                </c:pt>
                <c:pt idx="72">
                  <c:v>31938</c:v>
                </c:pt>
                <c:pt idx="73">
                  <c:v>32375</c:v>
                </c:pt>
                <c:pt idx="74">
                  <c:v>32813</c:v>
                </c:pt>
                <c:pt idx="75">
                  <c:v>33250</c:v>
                </c:pt>
                <c:pt idx="76">
                  <c:v>33688</c:v>
                </c:pt>
                <c:pt idx="77">
                  <c:v>34125</c:v>
                </c:pt>
                <c:pt idx="78">
                  <c:v>34563</c:v>
                </c:pt>
                <c:pt idx="79">
                  <c:v>35000</c:v>
                </c:pt>
                <c:pt idx="80">
                  <c:v>35438</c:v>
                </c:pt>
                <c:pt idx="81">
                  <c:v>35875</c:v>
                </c:pt>
                <c:pt idx="82">
                  <c:v>36313</c:v>
                </c:pt>
                <c:pt idx="83">
                  <c:v>36750</c:v>
                </c:pt>
                <c:pt idx="84">
                  <c:v>37188</c:v>
                </c:pt>
                <c:pt idx="85">
                  <c:v>37625</c:v>
                </c:pt>
                <c:pt idx="86">
                  <c:v>38063</c:v>
                </c:pt>
                <c:pt idx="87">
                  <c:v>38500</c:v>
                </c:pt>
                <c:pt idx="88">
                  <c:v>38938</c:v>
                </c:pt>
                <c:pt idx="89">
                  <c:v>39375</c:v>
                </c:pt>
                <c:pt idx="90">
                  <c:v>39813</c:v>
                </c:pt>
                <c:pt idx="91">
                  <c:v>40250</c:v>
                </c:pt>
                <c:pt idx="92">
                  <c:v>40688</c:v>
                </c:pt>
                <c:pt idx="93">
                  <c:v>41125</c:v>
                </c:pt>
                <c:pt idx="94">
                  <c:v>41563</c:v>
                </c:pt>
                <c:pt idx="95">
                  <c:v>42000</c:v>
                </c:pt>
                <c:pt idx="96">
                  <c:v>42438</c:v>
                </c:pt>
                <c:pt idx="97">
                  <c:v>42875</c:v>
                </c:pt>
                <c:pt idx="98">
                  <c:v>43313</c:v>
                </c:pt>
                <c:pt idx="99">
                  <c:v>43750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'PVP 시뮬레이션'!$K$50:$L$50</c:f>
              <c:strCache>
                <c:ptCount val="1"/>
                <c:pt idx="0">
                  <c:v>도적</c:v>
                </c:pt>
              </c:strCache>
            </c:strRef>
          </c:tx>
          <c:marker>
            <c:symbol val="none"/>
          </c:marker>
          <c:val>
            <c:numRef>
              <c:f>'PVP 시뮬레이션'!$K$52:$K$151</c:f>
              <c:numCache>
                <c:formatCode>General</c:formatCode>
                <c:ptCount val="100"/>
                <c:pt idx="0">
                  <c:v>426</c:v>
                </c:pt>
                <c:pt idx="1">
                  <c:v>853</c:v>
                </c:pt>
                <c:pt idx="2">
                  <c:v>1279</c:v>
                </c:pt>
                <c:pt idx="3">
                  <c:v>1705</c:v>
                </c:pt>
                <c:pt idx="4">
                  <c:v>2131</c:v>
                </c:pt>
                <c:pt idx="5">
                  <c:v>2558</c:v>
                </c:pt>
                <c:pt idx="6">
                  <c:v>2984</c:v>
                </c:pt>
                <c:pt idx="7">
                  <c:v>3410</c:v>
                </c:pt>
                <c:pt idx="8">
                  <c:v>3836</c:v>
                </c:pt>
                <c:pt idx="9">
                  <c:v>4263</c:v>
                </c:pt>
                <c:pt idx="10">
                  <c:v>4689</c:v>
                </c:pt>
                <c:pt idx="11">
                  <c:v>5115</c:v>
                </c:pt>
                <c:pt idx="12">
                  <c:v>5541</c:v>
                </c:pt>
                <c:pt idx="13">
                  <c:v>5968</c:v>
                </c:pt>
                <c:pt idx="14">
                  <c:v>6394</c:v>
                </c:pt>
                <c:pt idx="15">
                  <c:v>6820</c:v>
                </c:pt>
                <c:pt idx="16">
                  <c:v>7246</c:v>
                </c:pt>
                <c:pt idx="17">
                  <c:v>7673</c:v>
                </c:pt>
                <c:pt idx="18">
                  <c:v>8099</c:v>
                </c:pt>
                <c:pt idx="19">
                  <c:v>8525</c:v>
                </c:pt>
                <c:pt idx="20">
                  <c:v>8951</c:v>
                </c:pt>
                <c:pt idx="21">
                  <c:v>9378</c:v>
                </c:pt>
                <c:pt idx="22">
                  <c:v>9804</c:v>
                </c:pt>
                <c:pt idx="23">
                  <c:v>10230</c:v>
                </c:pt>
                <c:pt idx="24">
                  <c:v>10656</c:v>
                </c:pt>
                <c:pt idx="25">
                  <c:v>11083</c:v>
                </c:pt>
                <c:pt idx="26">
                  <c:v>11509</c:v>
                </c:pt>
                <c:pt idx="27">
                  <c:v>11935</c:v>
                </c:pt>
                <c:pt idx="28">
                  <c:v>12361</c:v>
                </c:pt>
                <c:pt idx="29">
                  <c:v>12788</c:v>
                </c:pt>
                <c:pt idx="30">
                  <c:v>13214</c:v>
                </c:pt>
                <c:pt idx="31">
                  <c:v>13640</c:v>
                </c:pt>
                <c:pt idx="32">
                  <c:v>14066</c:v>
                </c:pt>
                <c:pt idx="33">
                  <c:v>14493</c:v>
                </c:pt>
                <c:pt idx="34">
                  <c:v>14919</c:v>
                </c:pt>
                <c:pt idx="35">
                  <c:v>15345</c:v>
                </c:pt>
                <c:pt idx="36">
                  <c:v>15771</c:v>
                </c:pt>
                <c:pt idx="37">
                  <c:v>16198</c:v>
                </c:pt>
                <c:pt idx="38">
                  <c:v>16624</c:v>
                </c:pt>
                <c:pt idx="39">
                  <c:v>17050</c:v>
                </c:pt>
                <c:pt idx="40">
                  <c:v>17476</c:v>
                </c:pt>
                <c:pt idx="41">
                  <c:v>17903</c:v>
                </c:pt>
                <c:pt idx="42">
                  <c:v>18329</c:v>
                </c:pt>
                <c:pt idx="43">
                  <c:v>18755</c:v>
                </c:pt>
                <c:pt idx="44">
                  <c:v>19181</c:v>
                </c:pt>
                <c:pt idx="45">
                  <c:v>19608</c:v>
                </c:pt>
                <c:pt idx="46">
                  <c:v>20034</c:v>
                </c:pt>
                <c:pt idx="47">
                  <c:v>20460</c:v>
                </c:pt>
                <c:pt idx="48">
                  <c:v>20886</c:v>
                </c:pt>
                <c:pt idx="49">
                  <c:v>21313</c:v>
                </c:pt>
                <c:pt idx="50">
                  <c:v>21739</c:v>
                </c:pt>
                <c:pt idx="51">
                  <c:v>22165</c:v>
                </c:pt>
                <c:pt idx="52">
                  <c:v>22591</c:v>
                </c:pt>
                <c:pt idx="53">
                  <c:v>23018</c:v>
                </c:pt>
                <c:pt idx="54">
                  <c:v>23444</c:v>
                </c:pt>
                <c:pt idx="55">
                  <c:v>23870</c:v>
                </c:pt>
                <c:pt idx="56">
                  <c:v>24296</c:v>
                </c:pt>
                <c:pt idx="57">
                  <c:v>24723</c:v>
                </c:pt>
                <c:pt idx="58">
                  <c:v>25149</c:v>
                </c:pt>
                <c:pt idx="59">
                  <c:v>25575</c:v>
                </c:pt>
                <c:pt idx="60">
                  <c:v>26001</c:v>
                </c:pt>
                <c:pt idx="61">
                  <c:v>26428</c:v>
                </c:pt>
                <c:pt idx="62">
                  <c:v>26854</c:v>
                </c:pt>
                <c:pt idx="63">
                  <c:v>27280</c:v>
                </c:pt>
                <c:pt idx="64">
                  <c:v>27706</c:v>
                </c:pt>
                <c:pt idx="65">
                  <c:v>28133</c:v>
                </c:pt>
                <c:pt idx="66">
                  <c:v>28559</c:v>
                </c:pt>
                <c:pt idx="67">
                  <c:v>28985</c:v>
                </c:pt>
                <c:pt idx="68">
                  <c:v>29411</c:v>
                </c:pt>
                <c:pt idx="69">
                  <c:v>29838</c:v>
                </c:pt>
                <c:pt idx="70">
                  <c:v>30264</c:v>
                </c:pt>
                <c:pt idx="71">
                  <c:v>30690</c:v>
                </c:pt>
                <c:pt idx="72">
                  <c:v>31116</c:v>
                </c:pt>
                <c:pt idx="73">
                  <c:v>31543</c:v>
                </c:pt>
                <c:pt idx="74">
                  <c:v>31969</c:v>
                </c:pt>
                <c:pt idx="75">
                  <c:v>32395</c:v>
                </c:pt>
                <c:pt idx="76">
                  <c:v>32821</c:v>
                </c:pt>
                <c:pt idx="77">
                  <c:v>33248</c:v>
                </c:pt>
                <c:pt idx="78">
                  <c:v>33674</c:v>
                </c:pt>
                <c:pt idx="79">
                  <c:v>34100</c:v>
                </c:pt>
                <c:pt idx="80">
                  <c:v>34526</c:v>
                </c:pt>
                <c:pt idx="81">
                  <c:v>34953</c:v>
                </c:pt>
                <c:pt idx="82">
                  <c:v>35379</c:v>
                </c:pt>
                <c:pt idx="83">
                  <c:v>35805</c:v>
                </c:pt>
                <c:pt idx="84">
                  <c:v>36231</c:v>
                </c:pt>
                <c:pt idx="85">
                  <c:v>36658</c:v>
                </c:pt>
                <c:pt idx="86">
                  <c:v>37084</c:v>
                </c:pt>
                <c:pt idx="87">
                  <c:v>37510</c:v>
                </c:pt>
                <c:pt idx="88">
                  <c:v>37936</c:v>
                </c:pt>
                <c:pt idx="89">
                  <c:v>38363</c:v>
                </c:pt>
                <c:pt idx="90">
                  <c:v>38789</c:v>
                </c:pt>
                <c:pt idx="91">
                  <c:v>39215</c:v>
                </c:pt>
                <c:pt idx="92">
                  <c:v>39641</c:v>
                </c:pt>
                <c:pt idx="93">
                  <c:v>40068</c:v>
                </c:pt>
                <c:pt idx="94">
                  <c:v>40494</c:v>
                </c:pt>
                <c:pt idx="95">
                  <c:v>40920</c:v>
                </c:pt>
                <c:pt idx="96">
                  <c:v>41346</c:v>
                </c:pt>
                <c:pt idx="97">
                  <c:v>41773</c:v>
                </c:pt>
                <c:pt idx="98">
                  <c:v>42199</c:v>
                </c:pt>
                <c:pt idx="99">
                  <c:v>42625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'PVP 시뮬레이션'!$Q$50:$R$50</c:f>
              <c:strCache>
                <c:ptCount val="1"/>
                <c:pt idx="0">
                  <c:v>궁수</c:v>
                </c:pt>
              </c:strCache>
            </c:strRef>
          </c:tx>
          <c:marker>
            <c:symbol val="none"/>
          </c:marker>
          <c:val>
            <c:numRef>
              <c:f>'PVP 시뮬레이션'!$Q$52:$Q$151</c:f>
              <c:numCache>
                <c:formatCode>General</c:formatCode>
                <c:ptCount val="100"/>
                <c:pt idx="0">
                  <c:v>429</c:v>
                </c:pt>
                <c:pt idx="1">
                  <c:v>857</c:v>
                </c:pt>
                <c:pt idx="2">
                  <c:v>1286</c:v>
                </c:pt>
                <c:pt idx="3">
                  <c:v>1714</c:v>
                </c:pt>
                <c:pt idx="4">
                  <c:v>2143</c:v>
                </c:pt>
                <c:pt idx="5">
                  <c:v>2571</c:v>
                </c:pt>
                <c:pt idx="6">
                  <c:v>3000</c:v>
                </c:pt>
                <c:pt idx="7">
                  <c:v>3429</c:v>
                </c:pt>
                <c:pt idx="8">
                  <c:v>3857</c:v>
                </c:pt>
                <c:pt idx="9">
                  <c:v>4286</c:v>
                </c:pt>
                <c:pt idx="10">
                  <c:v>4714</c:v>
                </c:pt>
                <c:pt idx="11">
                  <c:v>5143</c:v>
                </c:pt>
                <c:pt idx="12">
                  <c:v>5571</c:v>
                </c:pt>
                <c:pt idx="13">
                  <c:v>6000</c:v>
                </c:pt>
                <c:pt idx="14">
                  <c:v>6429</c:v>
                </c:pt>
                <c:pt idx="15">
                  <c:v>6857</c:v>
                </c:pt>
                <c:pt idx="16">
                  <c:v>7286</c:v>
                </c:pt>
                <c:pt idx="17">
                  <c:v>7714</c:v>
                </c:pt>
                <c:pt idx="18">
                  <c:v>8143</c:v>
                </c:pt>
                <c:pt idx="19">
                  <c:v>8571</c:v>
                </c:pt>
                <c:pt idx="20">
                  <c:v>9000</c:v>
                </c:pt>
                <c:pt idx="21">
                  <c:v>9429</c:v>
                </c:pt>
                <c:pt idx="22">
                  <c:v>9857</c:v>
                </c:pt>
                <c:pt idx="23">
                  <c:v>10286</c:v>
                </c:pt>
                <c:pt idx="24">
                  <c:v>10714</c:v>
                </c:pt>
                <c:pt idx="25">
                  <c:v>11143</c:v>
                </c:pt>
                <c:pt idx="26">
                  <c:v>11571</c:v>
                </c:pt>
                <c:pt idx="27">
                  <c:v>12000</c:v>
                </c:pt>
                <c:pt idx="28">
                  <c:v>12429</c:v>
                </c:pt>
                <c:pt idx="29">
                  <c:v>12857</c:v>
                </c:pt>
                <c:pt idx="30">
                  <c:v>13286</c:v>
                </c:pt>
                <c:pt idx="31">
                  <c:v>13714</c:v>
                </c:pt>
                <c:pt idx="32">
                  <c:v>14143</c:v>
                </c:pt>
                <c:pt idx="33">
                  <c:v>14571</c:v>
                </c:pt>
                <c:pt idx="34">
                  <c:v>15000</c:v>
                </c:pt>
                <c:pt idx="35">
                  <c:v>15429</c:v>
                </c:pt>
                <c:pt idx="36">
                  <c:v>15857</c:v>
                </c:pt>
                <c:pt idx="37">
                  <c:v>16286</c:v>
                </c:pt>
                <c:pt idx="38">
                  <c:v>16714</c:v>
                </c:pt>
                <c:pt idx="39">
                  <c:v>17143</c:v>
                </c:pt>
                <c:pt idx="40">
                  <c:v>17571</c:v>
                </c:pt>
                <c:pt idx="41">
                  <c:v>18000</c:v>
                </c:pt>
                <c:pt idx="42">
                  <c:v>18429</c:v>
                </c:pt>
                <c:pt idx="43">
                  <c:v>18857</c:v>
                </c:pt>
                <c:pt idx="44">
                  <c:v>19286</c:v>
                </c:pt>
                <c:pt idx="45">
                  <c:v>19714</c:v>
                </c:pt>
                <c:pt idx="46">
                  <c:v>20143</c:v>
                </c:pt>
                <c:pt idx="47">
                  <c:v>20571</c:v>
                </c:pt>
                <c:pt idx="48">
                  <c:v>21000</c:v>
                </c:pt>
                <c:pt idx="49">
                  <c:v>21429</c:v>
                </c:pt>
                <c:pt idx="50">
                  <c:v>21857</c:v>
                </c:pt>
                <c:pt idx="51">
                  <c:v>22286</c:v>
                </c:pt>
                <c:pt idx="52">
                  <c:v>22714</c:v>
                </c:pt>
                <c:pt idx="53">
                  <c:v>23143</c:v>
                </c:pt>
                <c:pt idx="54">
                  <c:v>23571</c:v>
                </c:pt>
                <c:pt idx="55">
                  <c:v>24000</c:v>
                </c:pt>
                <c:pt idx="56">
                  <c:v>24429</c:v>
                </c:pt>
                <c:pt idx="57">
                  <c:v>24857</c:v>
                </c:pt>
                <c:pt idx="58">
                  <c:v>25286</c:v>
                </c:pt>
                <c:pt idx="59">
                  <c:v>25714</c:v>
                </c:pt>
                <c:pt idx="60">
                  <c:v>26143</c:v>
                </c:pt>
                <c:pt idx="61">
                  <c:v>26571</c:v>
                </c:pt>
                <c:pt idx="62">
                  <c:v>27000</c:v>
                </c:pt>
                <c:pt idx="63">
                  <c:v>27429</c:v>
                </c:pt>
                <c:pt idx="64">
                  <c:v>27857</c:v>
                </c:pt>
                <c:pt idx="65">
                  <c:v>28286</c:v>
                </c:pt>
                <c:pt idx="66">
                  <c:v>28714</c:v>
                </c:pt>
                <c:pt idx="67">
                  <c:v>29143</c:v>
                </c:pt>
                <c:pt idx="68">
                  <c:v>29571</c:v>
                </c:pt>
                <c:pt idx="69">
                  <c:v>30000</c:v>
                </c:pt>
                <c:pt idx="70">
                  <c:v>30429</c:v>
                </c:pt>
                <c:pt idx="71">
                  <c:v>30857</c:v>
                </c:pt>
                <c:pt idx="72">
                  <c:v>31286</c:v>
                </c:pt>
                <c:pt idx="73">
                  <c:v>31714</c:v>
                </c:pt>
                <c:pt idx="74">
                  <c:v>32143</c:v>
                </c:pt>
                <c:pt idx="75">
                  <c:v>32571</c:v>
                </c:pt>
                <c:pt idx="76">
                  <c:v>33000</c:v>
                </c:pt>
                <c:pt idx="77">
                  <c:v>33429</c:v>
                </c:pt>
                <c:pt idx="78">
                  <c:v>33857</c:v>
                </c:pt>
                <c:pt idx="79">
                  <c:v>34286</c:v>
                </c:pt>
                <c:pt idx="80">
                  <c:v>34714</c:v>
                </c:pt>
                <c:pt idx="81">
                  <c:v>35143</c:v>
                </c:pt>
                <c:pt idx="82">
                  <c:v>35571</c:v>
                </c:pt>
                <c:pt idx="83">
                  <c:v>36000</c:v>
                </c:pt>
                <c:pt idx="84">
                  <c:v>36429</c:v>
                </c:pt>
                <c:pt idx="85">
                  <c:v>36857</c:v>
                </c:pt>
                <c:pt idx="86">
                  <c:v>37286</c:v>
                </c:pt>
                <c:pt idx="87">
                  <c:v>37714</c:v>
                </c:pt>
                <c:pt idx="88">
                  <c:v>38143</c:v>
                </c:pt>
                <c:pt idx="89">
                  <c:v>38571</c:v>
                </c:pt>
                <c:pt idx="90">
                  <c:v>39000</c:v>
                </c:pt>
                <c:pt idx="91">
                  <c:v>39429</c:v>
                </c:pt>
                <c:pt idx="92">
                  <c:v>39857</c:v>
                </c:pt>
                <c:pt idx="93">
                  <c:v>40286</c:v>
                </c:pt>
                <c:pt idx="94">
                  <c:v>40714</c:v>
                </c:pt>
                <c:pt idx="95">
                  <c:v>41143</c:v>
                </c:pt>
                <c:pt idx="96">
                  <c:v>41571</c:v>
                </c:pt>
                <c:pt idx="97">
                  <c:v>42000</c:v>
                </c:pt>
                <c:pt idx="98">
                  <c:v>42429</c:v>
                </c:pt>
                <c:pt idx="99">
                  <c:v>42857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'PVP 시뮬레이션'!$W$50:$X$50</c:f>
              <c:strCache>
                <c:ptCount val="1"/>
                <c:pt idx="0">
                  <c:v>법사</c:v>
                </c:pt>
              </c:strCache>
            </c:strRef>
          </c:tx>
          <c:marker>
            <c:symbol val="none"/>
          </c:marker>
          <c:val>
            <c:numRef>
              <c:f>'PVP 시뮬레이션'!$W$52:$W$151</c:f>
              <c:numCache>
                <c:formatCode>General</c:formatCode>
                <c:ptCount val="100"/>
                <c:pt idx="0">
                  <c:v>433</c:v>
                </c:pt>
                <c:pt idx="1">
                  <c:v>865</c:v>
                </c:pt>
                <c:pt idx="2">
                  <c:v>1298</c:v>
                </c:pt>
                <c:pt idx="3">
                  <c:v>1731</c:v>
                </c:pt>
                <c:pt idx="4">
                  <c:v>2163</c:v>
                </c:pt>
                <c:pt idx="5">
                  <c:v>2596</c:v>
                </c:pt>
                <c:pt idx="6">
                  <c:v>3029</c:v>
                </c:pt>
                <c:pt idx="7">
                  <c:v>3462</c:v>
                </c:pt>
                <c:pt idx="8">
                  <c:v>3894</c:v>
                </c:pt>
                <c:pt idx="9">
                  <c:v>4327</c:v>
                </c:pt>
                <c:pt idx="10">
                  <c:v>4760</c:v>
                </c:pt>
                <c:pt idx="11">
                  <c:v>5192</c:v>
                </c:pt>
                <c:pt idx="12">
                  <c:v>5625</c:v>
                </c:pt>
                <c:pt idx="13">
                  <c:v>6058</c:v>
                </c:pt>
                <c:pt idx="14">
                  <c:v>6490</c:v>
                </c:pt>
                <c:pt idx="15">
                  <c:v>6923</c:v>
                </c:pt>
                <c:pt idx="16">
                  <c:v>7356</c:v>
                </c:pt>
                <c:pt idx="17">
                  <c:v>7788</c:v>
                </c:pt>
                <c:pt idx="18">
                  <c:v>8221</c:v>
                </c:pt>
                <c:pt idx="19">
                  <c:v>8654</c:v>
                </c:pt>
                <c:pt idx="20">
                  <c:v>9087</c:v>
                </c:pt>
                <c:pt idx="21">
                  <c:v>9519</c:v>
                </c:pt>
                <c:pt idx="22">
                  <c:v>9952</c:v>
                </c:pt>
                <c:pt idx="23">
                  <c:v>10385</c:v>
                </c:pt>
                <c:pt idx="24">
                  <c:v>10817</c:v>
                </c:pt>
                <c:pt idx="25">
                  <c:v>11250</c:v>
                </c:pt>
                <c:pt idx="26">
                  <c:v>11683</c:v>
                </c:pt>
                <c:pt idx="27">
                  <c:v>12115</c:v>
                </c:pt>
                <c:pt idx="28">
                  <c:v>12548</c:v>
                </c:pt>
                <c:pt idx="29">
                  <c:v>12981</c:v>
                </c:pt>
                <c:pt idx="30">
                  <c:v>13413</c:v>
                </c:pt>
                <c:pt idx="31">
                  <c:v>13846</c:v>
                </c:pt>
                <c:pt idx="32">
                  <c:v>14279</c:v>
                </c:pt>
                <c:pt idx="33">
                  <c:v>14712</c:v>
                </c:pt>
                <c:pt idx="34">
                  <c:v>15144</c:v>
                </c:pt>
                <c:pt idx="35">
                  <c:v>15577</c:v>
                </c:pt>
                <c:pt idx="36">
                  <c:v>16010</c:v>
                </c:pt>
                <c:pt idx="37">
                  <c:v>16442</c:v>
                </c:pt>
                <c:pt idx="38">
                  <c:v>16875</c:v>
                </c:pt>
                <c:pt idx="39">
                  <c:v>17308</c:v>
                </c:pt>
                <c:pt idx="40">
                  <c:v>17740</c:v>
                </c:pt>
                <c:pt idx="41">
                  <c:v>18173</c:v>
                </c:pt>
                <c:pt idx="42">
                  <c:v>18606</c:v>
                </c:pt>
                <c:pt idx="43">
                  <c:v>19038</c:v>
                </c:pt>
                <c:pt idx="44">
                  <c:v>19471</c:v>
                </c:pt>
                <c:pt idx="45">
                  <c:v>19904</c:v>
                </c:pt>
                <c:pt idx="46">
                  <c:v>20337</c:v>
                </c:pt>
                <c:pt idx="47">
                  <c:v>20769</c:v>
                </c:pt>
                <c:pt idx="48">
                  <c:v>21202</c:v>
                </c:pt>
                <c:pt idx="49">
                  <c:v>21635</c:v>
                </c:pt>
                <c:pt idx="50">
                  <c:v>22067</c:v>
                </c:pt>
                <c:pt idx="51">
                  <c:v>22500</c:v>
                </c:pt>
                <c:pt idx="52">
                  <c:v>22933</c:v>
                </c:pt>
                <c:pt idx="53">
                  <c:v>23365</c:v>
                </c:pt>
                <c:pt idx="54">
                  <c:v>23798</c:v>
                </c:pt>
                <c:pt idx="55">
                  <c:v>24231</c:v>
                </c:pt>
                <c:pt idx="56">
                  <c:v>24663</c:v>
                </c:pt>
                <c:pt idx="57">
                  <c:v>25096</c:v>
                </c:pt>
                <c:pt idx="58">
                  <c:v>25529</c:v>
                </c:pt>
                <c:pt idx="59">
                  <c:v>25962</c:v>
                </c:pt>
                <c:pt idx="60">
                  <c:v>26394</c:v>
                </c:pt>
                <c:pt idx="61">
                  <c:v>26827</c:v>
                </c:pt>
                <c:pt idx="62">
                  <c:v>27260</c:v>
                </c:pt>
                <c:pt idx="63">
                  <c:v>27692</c:v>
                </c:pt>
                <c:pt idx="64">
                  <c:v>28125</c:v>
                </c:pt>
                <c:pt idx="65">
                  <c:v>28558</c:v>
                </c:pt>
                <c:pt idx="66">
                  <c:v>28990</c:v>
                </c:pt>
                <c:pt idx="67">
                  <c:v>29423</c:v>
                </c:pt>
                <c:pt idx="68">
                  <c:v>29856</c:v>
                </c:pt>
                <c:pt idx="69">
                  <c:v>30288</c:v>
                </c:pt>
                <c:pt idx="70">
                  <c:v>30721</c:v>
                </c:pt>
                <c:pt idx="71">
                  <c:v>31154</c:v>
                </c:pt>
                <c:pt idx="72">
                  <c:v>31587</c:v>
                </c:pt>
                <c:pt idx="73">
                  <c:v>32019</c:v>
                </c:pt>
                <c:pt idx="74">
                  <c:v>32452</c:v>
                </c:pt>
                <c:pt idx="75">
                  <c:v>32885</c:v>
                </c:pt>
                <c:pt idx="76">
                  <c:v>33317</c:v>
                </c:pt>
                <c:pt idx="77">
                  <c:v>33750</c:v>
                </c:pt>
                <c:pt idx="78">
                  <c:v>34183</c:v>
                </c:pt>
                <c:pt idx="79">
                  <c:v>34615</c:v>
                </c:pt>
                <c:pt idx="80">
                  <c:v>35048</c:v>
                </c:pt>
                <c:pt idx="81">
                  <c:v>35481</c:v>
                </c:pt>
                <c:pt idx="82">
                  <c:v>35913</c:v>
                </c:pt>
                <c:pt idx="83">
                  <c:v>36346</c:v>
                </c:pt>
                <c:pt idx="84">
                  <c:v>36779</c:v>
                </c:pt>
                <c:pt idx="85">
                  <c:v>37212</c:v>
                </c:pt>
                <c:pt idx="86">
                  <c:v>37644</c:v>
                </c:pt>
                <c:pt idx="87">
                  <c:v>38077</c:v>
                </c:pt>
                <c:pt idx="88">
                  <c:v>38510</c:v>
                </c:pt>
                <c:pt idx="89">
                  <c:v>38942</c:v>
                </c:pt>
                <c:pt idx="90">
                  <c:v>39375</c:v>
                </c:pt>
                <c:pt idx="91">
                  <c:v>39808</c:v>
                </c:pt>
                <c:pt idx="92">
                  <c:v>40240</c:v>
                </c:pt>
                <c:pt idx="93">
                  <c:v>40673</c:v>
                </c:pt>
                <c:pt idx="94">
                  <c:v>41106</c:v>
                </c:pt>
                <c:pt idx="95">
                  <c:v>41538</c:v>
                </c:pt>
                <c:pt idx="96">
                  <c:v>41971</c:v>
                </c:pt>
                <c:pt idx="97">
                  <c:v>42404</c:v>
                </c:pt>
                <c:pt idx="98">
                  <c:v>42837</c:v>
                </c:pt>
                <c:pt idx="99">
                  <c:v>43269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077504"/>
        <c:axId val="89485248"/>
      </c:lineChart>
      <c:catAx>
        <c:axId val="125077504"/>
        <c:scaling>
          <c:orientation val="minMax"/>
        </c:scaling>
        <c:delete val="0"/>
        <c:axPos val="b"/>
        <c:majorTickMark val="none"/>
        <c:minorTickMark val="none"/>
        <c:tickLblPos val="nextTo"/>
        <c:crossAx val="89485248"/>
        <c:crosses val="autoZero"/>
        <c:auto val="1"/>
        <c:lblAlgn val="ctr"/>
        <c:lblOffset val="100"/>
        <c:noMultiLvlLbl val="0"/>
      </c:catAx>
      <c:valAx>
        <c:axId val="8948524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5077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'성장 곡선'!$C$5:$C$5</c:f>
              <c:strCache>
                <c:ptCount val="1"/>
                <c:pt idx="0">
                  <c:v>다음 레벨업에 
필요한 시간(분)</c:v>
                </c:pt>
              </c:strCache>
            </c:strRef>
          </c:tx>
          <c:marker>
            <c:symbol val="none"/>
          </c:marker>
          <c:val>
            <c:numRef>
              <c:f>'성장 곡선'!$C$5:$C$95</c:f>
              <c:numCache>
                <c:formatCode>0.0</c:formatCode>
                <c:ptCount val="91"/>
                <c:pt idx="0" formatCode="General">
                  <c:v>0</c:v>
                </c:pt>
                <c:pt idx="1">
                  <c:v>1.2</c:v>
                </c:pt>
                <c:pt idx="2">
                  <c:v>3.805001850443321</c:v>
                </c:pt>
                <c:pt idx="3">
                  <c:v>7.8326319549231531</c:v>
                </c:pt>
                <c:pt idx="4">
                  <c:v>13.196038341699767</c:v>
                </c:pt>
                <c:pt idx="5">
                  <c:v>19.837875755794105</c:v>
                </c:pt>
                <c:pt idx="6">
                  <c:v>27.715652321250783</c:v>
                </c:pt>
                <c:pt idx="7">
                  <c:v>36.795810833387662</c:v>
                </c:pt>
                <c:pt idx="8">
                  <c:v>47.050742270260017</c:v>
                </c:pt>
                <c:pt idx="9">
                  <c:v>58.45707055931404</c:v>
                </c:pt>
                <c:pt idx="10">
                  <c:v>70.994578438413868</c:v>
                </c:pt>
                <c:pt idx="11">
                  <c:v>84.645491455040755</c:v>
                </c:pt>
                <c:pt idx="12">
                  <c:v>99.393977534264152</c:v>
                </c:pt>
                <c:pt idx="13">
                  <c:v>115.2257839282186</c:v>
                </c:pt>
                <c:pt idx="14">
                  <c:v>132.12796577283626</c:v>
                </c:pt>
                <c:pt idx="15">
                  <c:v>150.08867802048476</c:v>
                </c:pt>
                <c:pt idx="16">
                  <c:v>169.09701257893042</c:v>
                </c:pt>
                <c:pt idx="17">
                  <c:v>189.14286853965467</c:v>
                </c:pt>
                <c:pt idx="18">
                  <c:v>210.21684716773413</c:v>
                </c:pt>
                <c:pt idx="19">
                  <c:v>232.31016577962276</c:v>
                </c:pt>
                <c:pt idx="20">
                  <c:v>255.4145862718365</c:v>
                </c:pt>
                <c:pt idx="21">
                  <c:v>279.52235518323755</c:v>
                </c:pt>
                <c:pt idx="22">
                  <c:v>304.62615295701772</c:v>
                </c:pt>
                <c:pt idx="23">
                  <c:v>330.71905062759555</c:v>
                </c:pt>
                <c:pt idx="24">
                  <c:v>357.79447256385566</c:v>
                </c:pt>
                <c:pt idx="25">
                  <c:v>385.84616420000594</c:v>
                </c:pt>
                <c:pt idx="26">
                  <c:v>414.86816390992192</c:v>
                </c:pt>
                <c:pt idx="27">
                  <c:v>444.85477835123294</c:v>
                </c:pt>
                <c:pt idx="28">
                  <c:v>475.80056073629771</c:v>
                </c:pt>
                <c:pt idx="29">
                  <c:v>507.70029158879396</c:v>
                </c:pt>
                <c:pt idx="30">
                  <c:v>540.54896162435114</c:v>
                </c:pt>
                <c:pt idx="31">
                  <c:v>574.34175645672678</c:v>
                </c:pt>
                <c:pt idx="32">
                  <c:v>609.07404288139344</c:v>
                </c:pt>
                <c:pt idx="33">
                  <c:v>644.74135652893381</c:v>
                </c:pt>
                <c:pt idx="34">
                  <c:v>681.33939071352472</c:v>
                </c:pt>
                <c:pt idx="35">
                  <c:v>718.86398632861085</c:v>
                </c:pt>
                <c:pt idx="36">
                  <c:v>757.3111226639536</c:v>
                </c:pt>
                <c:pt idx="37">
                  <c:v>796.67690903643984</c:v>
                </c:pt>
                <c:pt idx="38">
                  <c:v>836.95757714224669</c:v>
                </c:pt>
                <c:pt idx="39">
                  <c:v>878.14947405060786</c:v>
                </c:pt>
                <c:pt idx="40">
                  <c:v>920.24905577009781</c:v>
                </c:pt>
                <c:pt idx="41">
                  <c:v>963.25288132735147</c:v>
                </c:pt>
                <c:pt idx="42">
                  <c:v>1007.1576073057586</c:v>
                </c:pt>
                <c:pt idx="43">
                  <c:v>1051.9599827981938</c:v>
                </c:pt>
                <c:pt idx="44">
                  <c:v>1097.6568447333891</c:v>
                </c:pt>
                <c:pt idx="45">
                  <c:v>1144.2451135403392</c:v>
                </c:pt>
                <c:pt idx="46">
                  <c:v>1191.7217891192515</c:v>
                </c:pt>
                <c:pt idx="47">
                  <c:v>1240.0839470911078</c:v>
                </c:pt>
                <c:pt idx="48">
                  <c:v>1289.3287353010028</c:v>
                </c:pt>
                <c:pt idx="49">
                  <c:v>1339.4533705530935</c:v>
                </c:pt>
                <c:pt idx="50">
                  <c:v>1390.4551355573913</c:v>
                </c:pt>
                <c:pt idx="51">
                  <c:v>1442.3313760706121</c:v>
                </c:pt>
                <c:pt idx="52">
                  <c:v>1495.0794982152038</c:v>
                </c:pt>
                <c:pt idx="53">
                  <c:v>1548.6969659621466</c:v>
                </c:pt>
                <c:pt idx="54">
                  <c:v>1603.1812987646606</c:v>
                </c:pt>
                <c:pt idx="55">
                  <c:v>1658.5300693310639</c:v>
                </c:pt>
                <c:pt idx="56">
                  <c:v>1714.7409015262369</c:v>
                </c:pt>
                <c:pt idx="57">
                  <c:v>1771.8114683920603</c:v>
                </c:pt>
                <c:pt idx="58">
                  <c:v>1829.7394902781268</c:v>
                </c:pt>
                <c:pt idx="59">
                  <c:v>1888.5227330747282</c:v>
                </c:pt>
                <c:pt idx="60">
                  <c:v>1948.1590065409102</c:v>
                </c:pt>
                <c:pt idx="61">
                  <c:v>2008.6461627209694</c:v>
                </c:pt>
                <c:pt idx="62">
                  <c:v>2069.9820944432795</c:v>
                </c:pt>
                <c:pt idx="63">
                  <c:v>2132.1647338959724</c:v>
                </c:pt>
                <c:pt idx="64">
                  <c:v>2195.1920512743286</c:v>
                </c:pt>
                <c:pt idx="65">
                  <c:v>2259.0620534951745</c:v>
                </c:pt>
                <c:pt idx="66">
                  <c:v>2323.7727829740538</c:v>
                </c:pt>
                <c:pt idx="67">
                  <c:v>2389.3223164611095</c:v>
                </c:pt>
                <c:pt idx="68">
                  <c:v>2455.7087639320916</c:v>
                </c:pt>
                <c:pt idx="69">
                  <c:v>2522.9302675310505</c:v>
                </c:pt>
                <c:pt idx="70">
                  <c:v>2590.985000561619</c:v>
                </c:pt>
                <c:pt idx="71">
                  <c:v>2659.8711665239707</c:v>
                </c:pt>
                <c:pt idx="72">
                  <c:v>2729.586998194774</c:v>
                </c:pt>
                <c:pt idx="73">
                  <c:v>2800.130756747637</c:v>
                </c:pt>
                <c:pt idx="74">
                  <c:v>2871.5007309117464</c:v>
                </c:pt>
                <c:pt idx="75">
                  <c:v>2943.6952361665053</c:v>
                </c:pt>
                <c:pt idx="76">
                  <c:v>3016.7126139702682</c:v>
                </c:pt>
                <c:pt idx="77">
                  <c:v>3090.5512310211261</c:v>
                </c:pt>
                <c:pt idx="78">
                  <c:v>3165.2094785481831</c:v>
                </c:pt>
                <c:pt idx="79">
                  <c:v>3240.6857716315862</c:v>
                </c:pt>
                <c:pt idx="80">
                  <c:v>3316.9785485498314</c:v>
                </c:pt>
                <c:pt idx="81">
                  <c:v>3394.086270152894</c:v>
                </c:pt>
                <c:pt idx="82">
                  <c:v>3472.0074192598759</c:v>
                </c:pt>
                <c:pt idx="83">
                  <c:v>3550.7405000799245</c:v>
                </c:pt>
                <c:pt idx="84">
                  <c:v>3630.2840376552372</c:v>
                </c:pt>
                <c:pt idx="85">
                  <c:v>3710.6365773250823</c:v>
                </c:pt>
                <c:pt idx="86">
                  <c:v>3791.7966842097194</c:v>
                </c:pt>
                <c:pt idx="87">
                  <c:v>3873.7629427134484</c:v>
                </c:pt>
                <c:pt idx="88">
                  <c:v>3956.5339560455582</c:v>
                </c:pt>
                <c:pt idx="89">
                  <c:v>4040.1083457587042</c:v>
                </c:pt>
                <c:pt idx="90">
                  <c:v>4124.4847513035611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630208"/>
        <c:axId val="89488128"/>
      </c:lineChart>
      <c:catAx>
        <c:axId val="137630208"/>
        <c:scaling>
          <c:orientation val="minMax"/>
        </c:scaling>
        <c:delete val="0"/>
        <c:axPos val="b"/>
        <c:majorTickMark val="out"/>
        <c:minorTickMark val="none"/>
        <c:tickLblPos val="nextTo"/>
        <c:crossAx val="89488128"/>
        <c:crosses val="autoZero"/>
        <c:auto val="1"/>
        <c:lblAlgn val="ctr"/>
        <c:lblOffset val="100"/>
        <c:noMultiLvlLbl val="0"/>
      </c:catAx>
      <c:valAx>
        <c:axId val="89488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6302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'성장 곡선'!$D$5:$D$5</c:f>
              <c:strCache>
                <c:ptCount val="1"/>
                <c:pt idx="0">
                  <c:v>해당 레벨업까지
 필요한 시간(분)</c:v>
                </c:pt>
              </c:strCache>
            </c:strRef>
          </c:tx>
          <c:marker>
            <c:symbol val="none"/>
          </c:marker>
          <c:val>
            <c:numRef>
              <c:f>'성장 곡선'!$D$5:$D$95</c:f>
              <c:numCache>
                <c:formatCode>0.0</c:formatCode>
                <c:ptCount val="91"/>
                <c:pt idx="0" formatCode="General">
                  <c:v>0</c:v>
                </c:pt>
                <c:pt idx="1">
                  <c:v>1.2</c:v>
                </c:pt>
                <c:pt idx="2">
                  <c:v>5.0050018504433211</c:v>
                </c:pt>
                <c:pt idx="3">
                  <c:v>12.837633805366474</c:v>
                </c:pt>
                <c:pt idx="4">
                  <c:v>26.033672147066241</c:v>
                </c:pt>
                <c:pt idx="5">
                  <c:v>45.871547902860343</c:v>
                </c:pt>
                <c:pt idx="6">
                  <c:v>73.587200224111129</c:v>
                </c:pt>
                <c:pt idx="7">
                  <c:v>110.38301105749879</c:v>
                </c:pt>
                <c:pt idx="8">
                  <c:v>157.43375332775881</c:v>
                </c:pt>
                <c:pt idx="9">
                  <c:v>215.89082388707286</c:v>
                </c:pt>
                <c:pt idx="10">
                  <c:v>286.88540232548672</c:v>
                </c:pt>
                <c:pt idx="11">
                  <c:v>371.53089378052749</c:v>
                </c:pt>
                <c:pt idx="12">
                  <c:v>470.92487131479163</c:v>
                </c:pt>
                <c:pt idx="13">
                  <c:v>586.15065524301019</c:v>
                </c:pt>
                <c:pt idx="14">
                  <c:v>718.27862101584651</c:v>
                </c:pt>
                <c:pt idx="15">
                  <c:v>868.36729903633125</c:v>
                </c:pt>
                <c:pt idx="16">
                  <c:v>1037.4643116152617</c:v>
                </c:pt>
                <c:pt idx="17">
                  <c:v>1226.6071801549165</c:v>
                </c:pt>
                <c:pt idx="18">
                  <c:v>1436.8240273226506</c:v>
                </c:pt>
                <c:pt idx="19">
                  <c:v>1669.1341931022735</c:v>
                </c:pt>
                <c:pt idx="20">
                  <c:v>1924.5487793741099</c:v>
                </c:pt>
                <c:pt idx="21">
                  <c:v>2204.0711345573472</c:v>
                </c:pt>
                <c:pt idx="22">
                  <c:v>2508.6972875143651</c:v>
                </c:pt>
                <c:pt idx="23">
                  <c:v>2839.4163381419608</c:v>
                </c:pt>
                <c:pt idx="24">
                  <c:v>3197.2108107058166</c:v>
                </c:pt>
                <c:pt idx="25">
                  <c:v>3583.0569749058227</c:v>
                </c:pt>
                <c:pt idx="26">
                  <c:v>3997.9251388157445</c:v>
                </c:pt>
                <c:pt idx="27">
                  <c:v>4442.7799171669776</c:v>
                </c:pt>
                <c:pt idx="28">
                  <c:v>4918.5804779032751</c:v>
                </c:pt>
                <c:pt idx="29">
                  <c:v>5426.2807694920693</c:v>
                </c:pt>
                <c:pt idx="30">
                  <c:v>5966.8297311164206</c:v>
                </c:pt>
                <c:pt idx="31">
                  <c:v>6541.1714875731477</c:v>
                </c:pt>
                <c:pt idx="32">
                  <c:v>7150.245530454541</c:v>
                </c:pt>
                <c:pt idx="33">
                  <c:v>7794.9868869834745</c:v>
                </c:pt>
                <c:pt idx="34">
                  <c:v>8476.3262776969987</c:v>
                </c:pt>
                <c:pt idx="35">
                  <c:v>9195.1902640256103</c:v>
                </c:pt>
                <c:pt idx="36">
                  <c:v>9952.5013866895642</c:v>
                </c:pt>
                <c:pt idx="37">
                  <c:v>10749.178295726004</c:v>
                </c:pt>
                <c:pt idx="38">
                  <c:v>11586.13587286825</c:v>
                </c:pt>
                <c:pt idx="39">
                  <c:v>12464.285346918858</c:v>
                </c:pt>
                <c:pt idx="40">
                  <c:v>13384.534402688956</c:v>
                </c:pt>
                <c:pt idx="41">
                  <c:v>14347.787284016307</c:v>
                </c:pt>
                <c:pt idx="42">
                  <c:v>15354.944891322066</c:v>
                </c:pt>
                <c:pt idx="43">
                  <c:v>16406.904874120261</c:v>
                </c:pt>
                <c:pt idx="44">
                  <c:v>17504.561718853649</c:v>
                </c:pt>
                <c:pt idx="45">
                  <c:v>18648.806832393988</c:v>
                </c:pt>
                <c:pt idx="46">
                  <c:v>19840.52862151324</c:v>
                </c:pt>
                <c:pt idx="47">
                  <c:v>21080.612568604349</c:v>
                </c:pt>
                <c:pt idx="48">
                  <c:v>22369.941303905351</c:v>
                </c:pt>
                <c:pt idx="49">
                  <c:v>23709.394674458443</c:v>
                </c:pt>
                <c:pt idx="50">
                  <c:v>25099.849810015832</c:v>
                </c:pt>
                <c:pt idx="51">
                  <c:v>26542.181186086444</c:v>
                </c:pt>
                <c:pt idx="52">
                  <c:v>28037.260684301647</c:v>
                </c:pt>
                <c:pt idx="53">
                  <c:v>29585.957650263794</c:v>
                </c:pt>
                <c:pt idx="54">
                  <c:v>31189.138949028453</c:v>
                </c:pt>
                <c:pt idx="55">
                  <c:v>32847.66901835952</c:v>
                </c:pt>
                <c:pt idx="56">
                  <c:v>34562.409919885758</c:v>
                </c:pt>
                <c:pt idx="57">
                  <c:v>36334.221388277816</c:v>
                </c:pt>
                <c:pt idx="58">
                  <c:v>38163.960878555939</c:v>
                </c:pt>
                <c:pt idx="59">
                  <c:v>40052.483611630669</c:v>
                </c:pt>
                <c:pt idx="60">
                  <c:v>42000.64261817158</c:v>
                </c:pt>
                <c:pt idx="61">
                  <c:v>44009.288780892552</c:v>
                </c:pt>
                <c:pt idx="62">
                  <c:v>46079.270875335831</c:v>
                </c:pt>
                <c:pt idx="63">
                  <c:v>48211.435609231805</c:v>
                </c:pt>
                <c:pt idx="64">
                  <c:v>50406.627660506136</c:v>
                </c:pt>
                <c:pt idx="65">
                  <c:v>52665.68971400131</c:v>
                </c:pt>
                <c:pt idx="66">
                  <c:v>54989.462496975364</c:v>
                </c:pt>
                <c:pt idx="67">
                  <c:v>57378.784813436476</c:v>
                </c:pt>
                <c:pt idx="68">
                  <c:v>59834.493577368565</c:v>
                </c:pt>
                <c:pt idx="69">
                  <c:v>62357.423844899618</c:v>
                </c:pt>
                <c:pt idx="70">
                  <c:v>64948.408845461236</c:v>
                </c:pt>
                <c:pt idx="71">
                  <c:v>67608.280011985204</c:v>
                </c:pt>
                <c:pt idx="72">
                  <c:v>70337.86701017998</c:v>
                </c:pt>
                <c:pt idx="73">
                  <c:v>73137.997766927612</c:v>
                </c:pt>
                <c:pt idx="74">
                  <c:v>76009.498497839362</c:v>
                </c:pt>
                <c:pt idx="75">
                  <c:v>78953.193734005865</c:v>
                </c:pt>
                <c:pt idx="76">
                  <c:v>81969.906347976139</c:v>
                </c:pt>
                <c:pt idx="77">
                  <c:v>85060.457578997259</c:v>
                </c:pt>
                <c:pt idx="78">
                  <c:v>88225.667057545448</c:v>
                </c:pt>
                <c:pt idx="79">
                  <c:v>91466.352829177034</c:v>
                </c:pt>
                <c:pt idx="80">
                  <c:v>94783.331377726863</c:v>
                </c:pt>
                <c:pt idx="81">
                  <c:v>98177.41764787976</c:v>
                </c:pt>
                <c:pt idx="82">
                  <c:v>101649.42506713963</c:v>
                </c:pt>
                <c:pt idx="83">
                  <c:v>105200.16556721955</c:v>
                </c:pt>
                <c:pt idx="84">
                  <c:v>108830.44960487478</c:v>
                </c:pt>
                <c:pt idx="85">
                  <c:v>112541.08618219987</c:v>
                </c:pt>
                <c:pt idx="86">
                  <c:v>116332.88286640959</c:v>
                </c:pt>
                <c:pt idx="87">
                  <c:v>120206.64580912305</c:v>
                </c:pt>
                <c:pt idx="88">
                  <c:v>124163.17976516861</c:v>
                </c:pt>
                <c:pt idx="89">
                  <c:v>128203.28811092731</c:v>
                </c:pt>
                <c:pt idx="90">
                  <c:v>132327.77286223086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631744"/>
        <c:axId val="98755136"/>
      </c:lineChart>
      <c:catAx>
        <c:axId val="137631744"/>
        <c:scaling>
          <c:orientation val="minMax"/>
        </c:scaling>
        <c:delete val="0"/>
        <c:axPos val="b"/>
        <c:majorTickMark val="out"/>
        <c:minorTickMark val="none"/>
        <c:tickLblPos val="nextTo"/>
        <c:crossAx val="98755136"/>
        <c:crosses val="autoZero"/>
        <c:auto val="1"/>
        <c:lblAlgn val="ctr"/>
        <c:lblOffset val="100"/>
        <c:noMultiLvlLbl val="0"/>
      </c:catAx>
      <c:valAx>
        <c:axId val="98755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631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'성장 경험치 곡선'!$E$5</c:f>
              <c:strCache>
                <c:ptCount val="1"/>
                <c:pt idx="0">
                  <c:v>동레벨 몬스터 
경험치</c:v>
                </c:pt>
              </c:strCache>
            </c:strRef>
          </c:tx>
          <c:marker>
            <c:symbol val="none"/>
          </c:marker>
          <c:val>
            <c:numRef>
              <c:f>'성장 경험치 곡선'!$E$6:$E$95</c:f>
              <c:numCache>
                <c:formatCode>_(* #,##0_);_(* \(#,##0\);_(* "-"_);_(@_)</c:formatCode>
                <c:ptCount val="90"/>
                <c:pt idx="0">
                  <c:v>501</c:v>
                </c:pt>
                <c:pt idx="1">
                  <c:v>504</c:v>
                </c:pt>
                <c:pt idx="2">
                  <c:v>509</c:v>
                </c:pt>
                <c:pt idx="3">
                  <c:v>516</c:v>
                </c:pt>
                <c:pt idx="4">
                  <c:v>525</c:v>
                </c:pt>
                <c:pt idx="5">
                  <c:v>536</c:v>
                </c:pt>
                <c:pt idx="6">
                  <c:v>549</c:v>
                </c:pt>
                <c:pt idx="7">
                  <c:v>564</c:v>
                </c:pt>
                <c:pt idx="8">
                  <c:v>581</c:v>
                </c:pt>
                <c:pt idx="9">
                  <c:v>600</c:v>
                </c:pt>
                <c:pt idx="10">
                  <c:v>621</c:v>
                </c:pt>
                <c:pt idx="11">
                  <c:v>644</c:v>
                </c:pt>
                <c:pt idx="12">
                  <c:v>669</c:v>
                </c:pt>
                <c:pt idx="13">
                  <c:v>696</c:v>
                </c:pt>
                <c:pt idx="14">
                  <c:v>725</c:v>
                </c:pt>
                <c:pt idx="15">
                  <c:v>756</c:v>
                </c:pt>
                <c:pt idx="16">
                  <c:v>789</c:v>
                </c:pt>
                <c:pt idx="17">
                  <c:v>824</c:v>
                </c:pt>
                <c:pt idx="18">
                  <c:v>861</c:v>
                </c:pt>
                <c:pt idx="19">
                  <c:v>900</c:v>
                </c:pt>
                <c:pt idx="20">
                  <c:v>941</c:v>
                </c:pt>
                <c:pt idx="21">
                  <c:v>984</c:v>
                </c:pt>
                <c:pt idx="22">
                  <c:v>1029</c:v>
                </c:pt>
                <c:pt idx="23">
                  <c:v>1076</c:v>
                </c:pt>
                <c:pt idx="24">
                  <c:v>1125</c:v>
                </c:pt>
                <c:pt idx="25">
                  <c:v>1176</c:v>
                </c:pt>
                <c:pt idx="26">
                  <c:v>1229</c:v>
                </c:pt>
                <c:pt idx="27">
                  <c:v>1284</c:v>
                </c:pt>
                <c:pt idx="28">
                  <c:v>1341</c:v>
                </c:pt>
                <c:pt idx="29">
                  <c:v>1400</c:v>
                </c:pt>
                <c:pt idx="30">
                  <c:v>1461</c:v>
                </c:pt>
                <c:pt idx="31">
                  <c:v>1524</c:v>
                </c:pt>
                <c:pt idx="32">
                  <c:v>1589</c:v>
                </c:pt>
                <c:pt idx="33">
                  <c:v>1656</c:v>
                </c:pt>
                <c:pt idx="34">
                  <c:v>1725</c:v>
                </c:pt>
                <c:pt idx="35">
                  <c:v>1796</c:v>
                </c:pt>
                <c:pt idx="36">
                  <c:v>1869</c:v>
                </c:pt>
                <c:pt idx="37">
                  <c:v>1944</c:v>
                </c:pt>
                <c:pt idx="38">
                  <c:v>2021</c:v>
                </c:pt>
                <c:pt idx="39">
                  <c:v>2100</c:v>
                </c:pt>
                <c:pt idx="40">
                  <c:v>2181</c:v>
                </c:pt>
                <c:pt idx="41">
                  <c:v>2264</c:v>
                </c:pt>
                <c:pt idx="42">
                  <c:v>2349</c:v>
                </c:pt>
                <c:pt idx="43">
                  <c:v>2436</c:v>
                </c:pt>
                <c:pt idx="44">
                  <c:v>2525</c:v>
                </c:pt>
                <c:pt idx="45">
                  <c:v>2616</c:v>
                </c:pt>
                <c:pt idx="46">
                  <c:v>2709</c:v>
                </c:pt>
                <c:pt idx="47">
                  <c:v>2804</c:v>
                </c:pt>
                <c:pt idx="48">
                  <c:v>2901</c:v>
                </c:pt>
                <c:pt idx="49">
                  <c:v>3000</c:v>
                </c:pt>
                <c:pt idx="50">
                  <c:v>3101</c:v>
                </c:pt>
                <c:pt idx="51">
                  <c:v>3204</c:v>
                </c:pt>
                <c:pt idx="52">
                  <c:v>3309</c:v>
                </c:pt>
                <c:pt idx="53">
                  <c:v>3416</c:v>
                </c:pt>
                <c:pt idx="54">
                  <c:v>3525</c:v>
                </c:pt>
                <c:pt idx="55">
                  <c:v>3636</c:v>
                </c:pt>
                <c:pt idx="56">
                  <c:v>3749</c:v>
                </c:pt>
                <c:pt idx="57">
                  <c:v>3864</c:v>
                </c:pt>
                <c:pt idx="58">
                  <c:v>3981</c:v>
                </c:pt>
                <c:pt idx="59">
                  <c:v>4100</c:v>
                </c:pt>
                <c:pt idx="60">
                  <c:v>4221</c:v>
                </c:pt>
                <c:pt idx="61">
                  <c:v>4344</c:v>
                </c:pt>
                <c:pt idx="62">
                  <c:v>4469</c:v>
                </c:pt>
                <c:pt idx="63">
                  <c:v>4596</c:v>
                </c:pt>
                <c:pt idx="64">
                  <c:v>4725</c:v>
                </c:pt>
                <c:pt idx="65">
                  <c:v>4856</c:v>
                </c:pt>
                <c:pt idx="66">
                  <c:v>4989</c:v>
                </c:pt>
                <c:pt idx="67">
                  <c:v>5124</c:v>
                </c:pt>
                <c:pt idx="68">
                  <c:v>5261</c:v>
                </c:pt>
                <c:pt idx="69">
                  <c:v>5400</c:v>
                </c:pt>
                <c:pt idx="70">
                  <c:v>5541</c:v>
                </c:pt>
                <c:pt idx="71">
                  <c:v>5684</c:v>
                </c:pt>
                <c:pt idx="72">
                  <c:v>5829</c:v>
                </c:pt>
                <c:pt idx="73">
                  <c:v>5976</c:v>
                </c:pt>
                <c:pt idx="74">
                  <c:v>6125</c:v>
                </c:pt>
                <c:pt idx="75">
                  <c:v>6276</c:v>
                </c:pt>
                <c:pt idx="76">
                  <c:v>6429</c:v>
                </c:pt>
                <c:pt idx="77">
                  <c:v>6584</c:v>
                </c:pt>
                <c:pt idx="78">
                  <c:v>6741</c:v>
                </c:pt>
                <c:pt idx="79">
                  <c:v>6900</c:v>
                </c:pt>
                <c:pt idx="80">
                  <c:v>7061</c:v>
                </c:pt>
                <c:pt idx="81">
                  <c:v>7224</c:v>
                </c:pt>
                <c:pt idx="82">
                  <c:v>7389</c:v>
                </c:pt>
                <c:pt idx="83">
                  <c:v>7556</c:v>
                </c:pt>
                <c:pt idx="84">
                  <c:v>7725</c:v>
                </c:pt>
                <c:pt idx="85">
                  <c:v>7896</c:v>
                </c:pt>
                <c:pt idx="86">
                  <c:v>8069</c:v>
                </c:pt>
                <c:pt idx="87">
                  <c:v>8244</c:v>
                </c:pt>
                <c:pt idx="88">
                  <c:v>8421</c:v>
                </c:pt>
                <c:pt idx="89">
                  <c:v>8600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079040"/>
        <c:axId val="98759744"/>
      </c:lineChart>
      <c:catAx>
        <c:axId val="125079040"/>
        <c:scaling>
          <c:orientation val="minMax"/>
        </c:scaling>
        <c:delete val="0"/>
        <c:axPos val="b"/>
        <c:majorTickMark val="out"/>
        <c:minorTickMark val="none"/>
        <c:tickLblPos val="nextTo"/>
        <c:crossAx val="98759744"/>
        <c:crosses val="autoZero"/>
        <c:auto val="1"/>
        <c:lblAlgn val="ctr"/>
        <c:lblOffset val="100"/>
        <c:noMultiLvlLbl val="0"/>
      </c:catAx>
      <c:valAx>
        <c:axId val="98759744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25079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'성장 경험치 곡선'!$I$5</c:f>
              <c:strCache>
                <c:ptCount val="1"/>
                <c:pt idx="0">
                  <c:v>총 경험치</c:v>
                </c:pt>
              </c:strCache>
            </c:strRef>
          </c:tx>
          <c:marker>
            <c:symbol val="none"/>
          </c:marker>
          <c:val>
            <c:numRef>
              <c:f>'성장 경험치 곡선'!$I$6:$I$95</c:f>
              <c:numCache>
                <c:formatCode>_(* #,##0_);_(* \(#,##0\);_(* "-"_);_(@_)</c:formatCode>
                <c:ptCount val="90"/>
                <c:pt idx="0">
                  <c:v>5260.5</c:v>
                </c:pt>
                <c:pt idx="1">
                  <c:v>17388</c:v>
                </c:pt>
                <c:pt idx="2">
                  <c:v>35884.5</c:v>
                </c:pt>
                <c:pt idx="3">
                  <c:v>61146</c:v>
                </c:pt>
                <c:pt idx="4">
                  <c:v>93712.5</c:v>
                </c:pt>
                <c:pt idx="5">
                  <c:v>133464</c:v>
                </c:pt>
                <c:pt idx="6">
                  <c:v>181993.5</c:v>
                </c:pt>
                <c:pt idx="7">
                  <c:v>238572</c:v>
                </c:pt>
                <c:pt idx="8">
                  <c:v>305896.5</c:v>
                </c:pt>
                <c:pt idx="9">
                  <c:v>383400</c:v>
                </c:pt>
                <c:pt idx="10">
                  <c:v>473202</c:v>
                </c:pt>
                <c:pt idx="11">
                  <c:v>575736</c:v>
                </c:pt>
                <c:pt idx="12">
                  <c:v>693418.5</c:v>
                </c:pt>
                <c:pt idx="13">
                  <c:v>827892</c:v>
                </c:pt>
                <c:pt idx="14">
                  <c:v>979837.5</c:v>
                </c:pt>
                <c:pt idx="15">
                  <c:v>1151010</c:v>
                </c:pt>
                <c:pt idx="16">
                  <c:v>1343272.5</c:v>
                </c:pt>
                <c:pt idx="17">
                  <c:v>1558596</c:v>
                </c:pt>
                <c:pt idx="18">
                  <c:v>1800351</c:v>
                </c:pt>
                <c:pt idx="19">
                  <c:v>2068200</c:v>
                </c:pt>
                <c:pt idx="20">
                  <c:v>2367085.5</c:v>
                </c:pt>
                <c:pt idx="21">
                  <c:v>2698128</c:v>
                </c:pt>
                <c:pt idx="22">
                  <c:v>3062304</c:v>
                </c:pt>
                <c:pt idx="23">
                  <c:v>3465258</c:v>
                </c:pt>
                <c:pt idx="24">
                  <c:v>3906562.5</c:v>
                </c:pt>
                <c:pt idx="25">
                  <c:v>4390596</c:v>
                </c:pt>
                <c:pt idx="26">
                  <c:v>4920301.5</c:v>
                </c:pt>
                <c:pt idx="27">
                  <c:v>5498730</c:v>
                </c:pt>
                <c:pt idx="28">
                  <c:v>6127029</c:v>
                </c:pt>
                <c:pt idx="29">
                  <c:v>6810300</c:v>
                </c:pt>
                <c:pt idx="30">
                  <c:v>7551909</c:v>
                </c:pt>
                <c:pt idx="31">
                  <c:v>8353044</c:v>
                </c:pt>
                <c:pt idx="32">
                  <c:v>9219378</c:v>
                </c:pt>
                <c:pt idx="33">
                  <c:v>10154592</c:v>
                </c:pt>
                <c:pt idx="34">
                  <c:v>11159887.5</c:v>
                </c:pt>
                <c:pt idx="35">
                  <c:v>12241536</c:v>
                </c:pt>
                <c:pt idx="36">
                  <c:v>13400730</c:v>
                </c:pt>
                <c:pt idx="37">
                  <c:v>14644152</c:v>
                </c:pt>
                <c:pt idx="38">
                  <c:v>15972973.5</c:v>
                </c:pt>
                <c:pt idx="39">
                  <c:v>17391150</c:v>
                </c:pt>
                <c:pt idx="40">
                  <c:v>18909270</c:v>
                </c:pt>
                <c:pt idx="41">
                  <c:v>20522028</c:v>
                </c:pt>
                <c:pt idx="42">
                  <c:v>22240332</c:v>
                </c:pt>
                <c:pt idx="43">
                  <c:v>24065244</c:v>
                </c:pt>
                <c:pt idx="44">
                  <c:v>26001187.5</c:v>
                </c:pt>
                <c:pt idx="45">
                  <c:v>28056600</c:v>
                </c:pt>
                <c:pt idx="46">
                  <c:v>30236503.5</c:v>
                </c:pt>
                <c:pt idx="47">
                  <c:v>32537616</c:v>
                </c:pt>
                <c:pt idx="48">
                  <c:v>34973005.5</c:v>
                </c:pt>
                <c:pt idx="49">
                  <c:v>37543500</c:v>
                </c:pt>
                <c:pt idx="50">
                  <c:v>40254081</c:v>
                </c:pt>
                <c:pt idx="51">
                  <c:v>43109820</c:v>
                </c:pt>
                <c:pt idx="52">
                  <c:v>46120842</c:v>
                </c:pt>
                <c:pt idx="53">
                  <c:v>49287756</c:v>
                </c:pt>
                <c:pt idx="54">
                  <c:v>52615912.5</c:v>
                </c:pt>
                <c:pt idx="55">
                  <c:v>56110752</c:v>
                </c:pt>
                <c:pt idx="56">
                  <c:v>59783428.5</c:v>
                </c:pt>
                <c:pt idx="57">
                  <c:v>63628488</c:v>
                </c:pt>
                <c:pt idx="58">
                  <c:v>67663066.5</c:v>
                </c:pt>
                <c:pt idx="59">
                  <c:v>71887350</c:v>
                </c:pt>
                <c:pt idx="60">
                  <c:v>76307238</c:v>
                </c:pt>
                <c:pt idx="61">
                  <c:v>80928720</c:v>
                </c:pt>
                <c:pt idx="62">
                  <c:v>85757875.5</c:v>
                </c:pt>
                <c:pt idx="63">
                  <c:v>90800874</c:v>
                </c:pt>
                <c:pt idx="64">
                  <c:v>96063975</c:v>
                </c:pt>
                <c:pt idx="65">
                  <c:v>101560812</c:v>
                </c:pt>
                <c:pt idx="66">
                  <c:v>107283456</c:v>
                </c:pt>
                <c:pt idx="67">
                  <c:v>113245524</c:v>
                </c:pt>
                <c:pt idx="68">
                  <c:v>119461527</c:v>
                </c:pt>
                <c:pt idx="69">
                  <c:v>125922600</c:v>
                </c:pt>
                <c:pt idx="70">
                  <c:v>132643228.5</c:v>
                </c:pt>
                <c:pt idx="71">
                  <c:v>139638828</c:v>
                </c:pt>
                <c:pt idx="72">
                  <c:v>146899543.5</c:v>
                </c:pt>
                <c:pt idx="73">
                  <c:v>154440756</c:v>
                </c:pt>
                <c:pt idx="74">
                  <c:v>162269625</c:v>
                </c:pt>
                <c:pt idx="75">
                  <c:v>170393400</c:v>
                </c:pt>
                <c:pt idx="76">
                  <c:v>178819420.5</c:v>
                </c:pt>
                <c:pt idx="77">
                  <c:v>187555116</c:v>
                </c:pt>
                <c:pt idx="78">
                  <c:v>196608006</c:v>
                </c:pt>
                <c:pt idx="79">
                  <c:v>205985700</c:v>
                </c:pt>
                <c:pt idx="80">
                  <c:v>215695897.5</c:v>
                </c:pt>
                <c:pt idx="81">
                  <c:v>225735552</c:v>
                </c:pt>
                <c:pt idx="82">
                  <c:v>236122884</c:v>
                </c:pt>
                <c:pt idx="83">
                  <c:v>246877188</c:v>
                </c:pt>
                <c:pt idx="84">
                  <c:v>257984100</c:v>
                </c:pt>
                <c:pt idx="85">
                  <c:v>269462844</c:v>
                </c:pt>
                <c:pt idx="86">
                  <c:v>281321650.5</c:v>
                </c:pt>
                <c:pt idx="87">
                  <c:v>293556474</c:v>
                </c:pt>
                <c:pt idx="88">
                  <c:v>306200191.5</c:v>
                </c:pt>
                <c:pt idx="89">
                  <c:v>319236300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759616"/>
        <c:axId val="98762048"/>
      </c:lineChart>
      <c:catAx>
        <c:axId val="139759616"/>
        <c:scaling>
          <c:orientation val="minMax"/>
        </c:scaling>
        <c:delete val="0"/>
        <c:axPos val="b"/>
        <c:majorTickMark val="out"/>
        <c:minorTickMark val="none"/>
        <c:tickLblPos val="nextTo"/>
        <c:crossAx val="98762048"/>
        <c:crosses val="autoZero"/>
        <c:auto val="1"/>
        <c:lblAlgn val="ctr"/>
        <c:lblOffset val="100"/>
        <c:noMultiLvlLbl val="0"/>
      </c:catAx>
      <c:valAx>
        <c:axId val="987620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39759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'성장 경험치 곡선'!$F$5</c:f>
              <c:strCache>
                <c:ptCount val="1"/>
                <c:pt idx="0">
                  <c:v>동레벨 몬스터 수</c:v>
                </c:pt>
              </c:strCache>
            </c:strRef>
          </c:tx>
          <c:marker>
            <c:symbol val="none"/>
          </c:marker>
          <c:val>
            <c:numRef>
              <c:f>'성장 경험치 곡선'!$F$6:$F$95</c:f>
              <c:numCache>
                <c:formatCode>_(* #,##0_);_(* \(#,##0\);_(* "-"_);_(@_)</c:formatCode>
                <c:ptCount val="90"/>
                <c:pt idx="0">
                  <c:v>7</c:v>
                </c:pt>
                <c:pt idx="1">
                  <c:v>23</c:v>
                </c:pt>
                <c:pt idx="2">
                  <c:v>47</c:v>
                </c:pt>
                <c:pt idx="3">
                  <c:v>79</c:v>
                </c:pt>
                <c:pt idx="4">
                  <c:v>119</c:v>
                </c:pt>
                <c:pt idx="5">
                  <c:v>166</c:v>
                </c:pt>
                <c:pt idx="6">
                  <c:v>221</c:v>
                </c:pt>
                <c:pt idx="7">
                  <c:v>282</c:v>
                </c:pt>
                <c:pt idx="8">
                  <c:v>351</c:v>
                </c:pt>
                <c:pt idx="9">
                  <c:v>426</c:v>
                </c:pt>
                <c:pt idx="10">
                  <c:v>508</c:v>
                </c:pt>
                <c:pt idx="11">
                  <c:v>596</c:v>
                </c:pt>
                <c:pt idx="12">
                  <c:v>691</c:v>
                </c:pt>
                <c:pt idx="13">
                  <c:v>793</c:v>
                </c:pt>
                <c:pt idx="14">
                  <c:v>901</c:v>
                </c:pt>
                <c:pt idx="15">
                  <c:v>1015</c:v>
                </c:pt>
                <c:pt idx="16">
                  <c:v>1135</c:v>
                </c:pt>
                <c:pt idx="17">
                  <c:v>1261</c:v>
                </c:pt>
                <c:pt idx="18">
                  <c:v>1394</c:v>
                </c:pt>
                <c:pt idx="19">
                  <c:v>1532</c:v>
                </c:pt>
                <c:pt idx="20">
                  <c:v>1677</c:v>
                </c:pt>
                <c:pt idx="21">
                  <c:v>1828</c:v>
                </c:pt>
                <c:pt idx="22">
                  <c:v>1984</c:v>
                </c:pt>
                <c:pt idx="23">
                  <c:v>2147</c:v>
                </c:pt>
                <c:pt idx="24">
                  <c:v>2315</c:v>
                </c:pt>
                <c:pt idx="25">
                  <c:v>2489</c:v>
                </c:pt>
                <c:pt idx="26">
                  <c:v>2669</c:v>
                </c:pt>
                <c:pt idx="27">
                  <c:v>2855</c:v>
                </c:pt>
                <c:pt idx="28">
                  <c:v>3046</c:v>
                </c:pt>
                <c:pt idx="29">
                  <c:v>3243</c:v>
                </c:pt>
                <c:pt idx="30">
                  <c:v>3446</c:v>
                </c:pt>
                <c:pt idx="31">
                  <c:v>3654</c:v>
                </c:pt>
                <c:pt idx="32">
                  <c:v>3868</c:v>
                </c:pt>
                <c:pt idx="33">
                  <c:v>4088</c:v>
                </c:pt>
                <c:pt idx="34">
                  <c:v>4313</c:v>
                </c:pt>
                <c:pt idx="35">
                  <c:v>4544</c:v>
                </c:pt>
                <c:pt idx="36">
                  <c:v>4780</c:v>
                </c:pt>
                <c:pt idx="37">
                  <c:v>5022</c:v>
                </c:pt>
                <c:pt idx="38">
                  <c:v>5269</c:v>
                </c:pt>
                <c:pt idx="39">
                  <c:v>5521</c:v>
                </c:pt>
                <c:pt idx="40">
                  <c:v>5780</c:v>
                </c:pt>
                <c:pt idx="41">
                  <c:v>6043</c:v>
                </c:pt>
                <c:pt idx="42">
                  <c:v>6312</c:v>
                </c:pt>
                <c:pt idx="43">
                  <c:v>6586</c:v>
                </c:pt>
                <c:pt idx="44">
                  <c:v>6865</c:v>
                </c:pt>
                <c:pt idx="45">
                  <c:v>7150</c:v>
                </c:pt>
                <c:pt idx="46">
                  <c:v>7441</c:v>
                </c:pt>
                <c:pt idx="47">
                  <c:v>7736</c:v>
                </c:pt>
                <c:pt idx="48">
                  <c:v>8037</c:v>
                </c:pt>
                <c:pt idx="49">
                  <c:v>8343</c:v>
                </c:pt>
                <c:pt idx="50">
                  <c:v>8654</c:v>
                </c:pt>
                <c:pt idx="51">
                  <c:v>8970</c:v>
                </c:pt>
                <c:pt idx="52">
                  <c:v>9292</c:v>
                </c:pt>
                <c:pt idx="53">
                  <c:v>9619</c:v>
                </c:pt>
                <c:pt idx="54">
                  <c:v>9951</c:v>
                </c:pt>
                <c:pt idx="55">
                  <c:v>10288</c:v>
                </c:pt>
                <c:pt idx="56">
                  <c:v>10631</c:v>
                </c:pt>
                <c:pt idx="57">
                  <c:v>10978</c:v>
                </c:pt>
                <c:pt idx="58">
                  <c:v>11331</c:v>
                </c:pt>
                <c:pt idx="59">
                  <c:v>11689</c:v>
                </c:pt>
                <c:pt idx="60">
                  <c:v>12052</c:v>
                </c:pt>
                <c:pt idx="61">
                  <c:v>12420</c:v>
                </c:pt>
                <c:pt idx="62">
                  <c:v>12793</c:v>
                </c:pt>
                <c:pt idx="63">
                  <c:v>13171</c:v>
                </c:pt>
                <c:pt idx="64">
                  <c:v>13554</c:v>
                </c:pt>
                <c:pt idx="65">
                  <c:v>13943</c:v>
                </c:pt>
                <c:pt idx="66">
                  <c:v>14336</c:v>
                </c:pt>
                <c:pt idx="67">
                  <c:v>14734</c:v>
                </c:pt>
                <c:pt idx="68">
                  <c:v>15138</c:v>
                </c:pt>
                <c:pt idx="69">
                  <c:v>15546</c:v>
                </c:pt>
                <c:pt idx="70">
                  <c:v>15959</c:v>
                </c:pt>
                <c:pt idx="71">
                  <c:v>16378</c:v>
                </c:pt>
                <c:pt idx="72">
                  <c:v>16801</c:v>
                </c:pt>
                <c:pt idx="73">
                  <c:v>17229</c:v>
                </c:pt>
                <c:pt idx="74">
                  <c:v>17662</c:v>
                </c:pt>
                <c:pt idx="75">
                  <c:v>18100</c:v>
                </c:pt>
                <c:pt idx="76">
                  <c:v>18543</c:v>
                </c:pt>
                <c:pt idx="77">
                  <c:v>18991</c:v>
                </c:pt>
                <c:pt idx="78">
                  <c:v>19444</c:v>
                </c:pt>
                <c:pt idx="79">
                  <c:v>19902</c:v>
                </c:pt>
                <c:pt idx="80">
                  <c:v>20365</c:v>
                </c:pt>
                <c:pt idx="81">
                  <c:v>20832</c:v>
                </c:pt>
                <c:pt idx="82">
                  <c:v>21304</c:v>
                </c:pt>
                <c:pt idx="83">
                  <c:v>21782</c:v>
                </c:pt>
                <c:pt idx="84">
                  <c:v>22264</c:v>
                </c:pt>
                <c:pt idx="85">
                  <c:v>22751</c:v>
                </c:pt>
                <c:pt idx="86">
                  <c:v>23243</c:v>
                </c:pt>
                <c:pt idx="87">
                  <c:v>23739</c:v>
                </c:pt>
                <c:pt idx="88">
                  <c:v>24241</c:v>
                </c:pt>
                <c:pt idx="89">
                  <c:v>24747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760128"/>
        <c:axId val="118736000"/>
      </c:lineChart>
      <c:catAx>
        <c:axId val="139760128"/>
        <c:scaling>
          <c:orientation val="minMax"/>
        </c:scaling>
        <c:delete val="0"/>
        <c:axPos val="b"/>
        <c:majorTickMark val="out"/>
        <c:minorTickMark val="none"/>
        <c:tickLblPos val="nextTo"/>
        <c:crossAx val="118736000"/>
        <c:crosses val="autoZero"/>
        <c:auto val="1"/>
        <c:lblAlgn val="ctr"/>
        <c:lblOffset val="100"/>
        <c:noMultiLvlLbl val="0"/>
      </c:catAx>
      <c:valAx>
        <c:axId val="118736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397601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'레벨에 따른 획득 재화'!$F$6</c:f>
              <c:strCache>
                <c:ptCount val="1"/>
                <c:pt idx="0">
                  <c:v>레벨에 따라 획득하는 
총 재화의 량</c:v>
                </c:pt>
              </c:strCache>
            </c:strRef>
          </c:tx>
          <c:marker>
            <c:symbol val="none"/>
          </c:marker>
          <c:val>
            <c:numRef>
              <c:f>'레벨에 따른 획득 재화'!$F$7:$F$96</c:f>
              <c:numCache>
                <c:formatCode>_(* #,##0_);_(* \(#,##0\);_(* "-"_);_(@_)</c:formatCode>
                <c:ptCount val="90"/>
                <c:pt idx="0">
                  <c:v>1578</c:v>
                </c:pt>
                <c:pt idx="1">
                  <c:v>5216</c:v>
                </c:pt>
                <c:pt idx="2">
                  <c:v>10765</c:v>
                </c:pt>
                <c:pt idx="3">
                  <c:v>18344</c:v>
                </c:pt>
                <c:pt idx="4">
                  <c:v>28114</c:v>
                </c:pt>
                <c:pt idx="5">
                  <c:v>40039</c:v>
                </c:pt>
                <c:pt idx="6">
                  <c:v>54598</c:v>
                </c:pt>
                <c:pt idx="7">
                  <c:v>71572</c:v>
                </c:pt>
                <c:pt idx="8">
                  <c:v>91769</c:v>
                </c:pt>
                <c:pt idx="9">
                  <c:v>115020</c:v>
                </c:pt>
                <c:pt idx="10">
                  <c:v>141961</c:v>
                </c:pt>
                <c:pt idx="11">
                  <c:v>172721</c:v>
                </c:pt>
                <c:pt idx="12">
                  <c:v>208026</c:v>
                </c:pt>
                <c:pt idx="13">
                  <c:v>248368</c:v>
                </c:pt>
                <c:pt idx="14">
                  <c:v>293951</c:v>
                </c:pt>
                <c:pt idx="15">
                  <c:v>345303</c:v>
                </c:pt>
                <c:pt idx="16">
                  <c:v>402982</c:v>
                </c:pt>
                <c:pt idx="17">
                  <c:v>467579</c:v>
                </c:pt>
                <c:pt idx="18">
                  <c:v>540105</c:v>
                </c:pt>
                <c:pt idx="19">
                  <c:v>620460</c:v>
                </c:pt>
                <c:pt idx="20">
                  <c:v>710126</c:v>
                </c:pt>
                <c:pt idx="21">
                  <c:v>809438</c:v>
                </c:pt>
                <c:pt idx="22">
                  <c:v>918691</c:v>
                </c:pt>
                <c:pt idx="23">
                  <c:v>1039577</c:v>
                </c:pt>
                <c:pt idx="24">
                  <c:v>1171969</c:v>
                </c:pt>
                <c:pt idx="25">
                  <c:v>1317179</c:v>
                </c:pt>
                <c:pt idx="26">
                  <c:v>1476090</c:v>
                </c:pt>
                <c:pt idx="27">
                  <c:v>1649619</c:v>
                </c:pt>
                <c:pt idx="28">
                  <c:v>1838109</c:v>
                </c:pt>
                <c:pt idx="29">
                  <c:v>2043090</c:v>
                </c:pt>
                <c:pt idx="30">
                  <c:v>2265573</c:v>
                </c:pt>
                <c:pt idx="31">
                  <c:v>2505913</c:v>
                </c:pt>
                <c:pt idx="32">
                  <c:v>2765813</c:v>
                </c:pt>
                <c:pt idx="33">
                  <c:v>3046378</c:v>
                </c:pt>
                <c:pt idx="34">
                  <c:v>3347966</c:v>
                </c:pt>
                <c:pt idx="35">
                  <c:v>3672461</c:v>
                </c:pt>
                <c:pt idx="36">
                  <c:v>4020219</c:v>
                </c:pt>
                <c:pt idx="37">
                  <c:v>4393246</c:v>
                </c:pt>
                <c:pt idx="38">
                  <c:v>4791892</c:v>
                </c:pt>
                <c:pt idx="39">
                  <c:v>5217345</c:v>
                </c:pt>
                <c:pt idx="40">
                  <c:v>5672781</c:v>
                </c:pt>
                <c:pt idx="41">
                  <c:v>6156608</c:v>
                </c:pt>
                <c:pt idx="42">
                  <c:v>6672100</c:v>
                </c:pt>
                <c:pt idx="43">
                  <c:v>7219573</c:v>
                </c:pt>
                <c:pt idx="44">
                  <c:v>7800356</c:v>
                </c:pt>
                <c:pt idx="45">
                  <c:v>8416980</c:v>
                </c:pt>
                <c:pt idx="46">
                  <c:v>9070951</c:v>
                </c:pt>
                <c:pt idx="47">
                  <c:v>9761285</c:v>
                </c:pt>
                <c:pt idx="48">
                  <c:v>10491902</c:v>
                </c:pt>
                <c:pt idx="49">
                  <c:v>11263050</c:v>
                </c:pt>
                <c:pt idx="50">
                  <c:v>12076224</c:v>
                </c:pt>
                <c:pt idx="51">
                  <c:v>12932946</c:v>
                </c:pt>
                <c:pt idx="52">
                  <c:v>13836253</c:v>
                </c:pt>
                <c:pt idx="53">
                  <c:v>14786327</c:v>
                </c:pt>
                <c:pt idx="54">
                  <c:v>15784774</c:v>
                </c:pt>
                <c:pt idx="55">
                  <c:v>16833226</c:v>
                </c:pt>
                <c:pt idx="56">
                  <c:v>17935029</c:v>
                </c:pt>
                <c:pt idx="57">
                  <c:v>19088546</c:v>
                </c:pt>
                <c:pt idx="58">
                  <c:v>20298920</c:v>
                </c:pt>
                <c:pt idx="59">
                  <c:v>21566205</c:v>
                </c:pt>
                <c:pt idx="60">
                  <c:v>22892171</c:v>
                </c:pt>
                <c:pt idx="61">
                  <c:v>24278616</c:v>
                </c:pt>
                <c:pt idx="62">
                  <c:v>25727363</c:v>
                </c:pt>
                <c:pt idx="63">
                  <c:v>27240262</c:v>
                </c:pt>
                <c:pt idx="64">
                  <c:v>28819193</c:v>
                </c:pt>
                <c:pt idx="65">
                  <c:v>30468244</c:v>
                </c:pt>
                <c:pt idx="66">
                  <c:v>32185037</c:v>
                </c:pt>
                <c:pt idx="67">
                  <c:v>33973657</c:v>
                </c:pt>
                <c:pt idx="68">
                  <c:v>35838458</c:v>
                </c:pt>
                <c:pt idx="69">
                  <c:v>37776780</c:v>
                </c:pt>
                <c:pt idx="70">
                  <c:v>39792969</c:v>
                </c:pt>
                <c:pt idx="71">
                  <c:v>41891648</c:v>
                </c:pt>
                <c:pt idx="72">
                  <c:v>44069863</c:v>
                </c:pt>
                <c:pt idx="73">
                  <c:v>46332227</c:v>
                </c:pt>
                <c:pt idx="74">
                  <c:v>48680888</c:v>
                </c:pt>
                <c:pt idx="75">
                  <c:v>51118020</c:v>
                </c:pt>
                <c:pt idx="76">
                  <c:v>53645826</c:v>
                </c:pt>
                <c:pt idx="77">
                  <c:v>56266535</c:v>
                </c:pt>
                <c:pt idx="78">
                  <c:v>58982402</c:v>
                </c:pt>
                <c:pt idx="79">
                  <c:v>61795710</c:v>
                </c:pt>
                <c:pt idx="80">
                  <c:v>64708769</c:v>
                </c:pt>
                <c:pt idx="81">
                  <c:v>67720666</c:v>
                </c:pt>
                <c:pt idx="82">
                  <c:v>70836865</c:v>
                </c:pt>
                <c:pt idx="83">
                  <c:v>74063156</c:v>
                </c:pt>
                <c:pt idx="84">
                  <c:v>77395230</c:v>
                </c:pt>
                <c:pt idx="85">
                  <c:v>80838853</c:v>
                </c:pt>
                <c:pt idx="86">
                  <c:v>84396495</c:v>
                </c:pt>
                <c:pt idx="87">
                  <c:v>88066942</c:v>
                </c:pt>
                <c:pt idx="88">
                  <c:v>91860057</c:v>
                </c:pt>
                <c:pt idx="89">
                  <c:v>95770890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632256"/>
        <c:axId val="118737728"/>
      </c:lineChart>
      <c:catAx>
        <c:axId val="137632256"/>
        <c:scaling>
          <c:orientation val="minMax"/>
        </c:scaling>
        <c:delete val="0"/>
        <c:axPos val="b"/>
        <c:majorTickMark val="out"/>
        <c:minorTickMark val="none"/>
        <c:tickLblPos val="nextTo"/>
        <c:crossAx val="118737728"/>
        <c:crosses val="autoZero"/>
        <c:auto val="1"/>
        <c:lblAlgn val="ctr"/>
        <c:lblOffset val="100"/>
        <c:noMultiLvlLbl val="0"/>
      </c:catAx>
      <c:valAx>
        <c:axId val="11873772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37632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'레벨에 따른 획득 재화'!$G$6</c:f>
              <c:strCache>
                <c:ptCount val="1"/>
                <c:pt idx="0">
                  <c:v>퀘스트를 통한
지급 재화 </c:v>
                </c:pt>
              </c:strCache>
            </c:strRef>
          </c:tx>
          <c:marker>
            <c:symbol val="none"/>
          </c:marker>
          <c:val>
            <c:numRef>
              <c:f>'레벨에 따른 획득 재화'!$G$7:$G$96</c:f>
              <c:numCache>
                <c:formatCode>_(* #,##0_);_(* \(#,##0\);_(* "-"_);_(@_)</c:formatCode>
                <c:ptCount val="90"/>
                <c:pt idx="0">
                  <c:v>473</c:v>
                </c:pt>
                <c:pt idx="1">
                  <c:v>1565</c:v>
                </c:pt>
                <c:pt idx="2">
                  <c:v>3230</c:v>
                </c:pt>
                <c:pt idx="3">
                  <c:v>5503</c:v>
                </c:pt>
                <c:pt idx="4">
                  <c:v>8434</c:v>
                </c:pt>
                <c:pt idx="5">
                  <c:v>12012</c:v>
                </c:pt>
                <c:pt idx="6">
                  <c:v>16379</c:v>
                </c:pt>
                <c:pt idx="7">
                  <c:v>21472</c:v>
                </c:pt>
                <c:pt idx="8">
                  <c:v>27531</c:v>
                </c:pt>
                <c:pt idx="9">
                  <c:v>34506</c:v>
                </c:pt>
                <c:pt idx="10">
                  <c:v>42588</c:v>
                </c:pt>
                <c:pt idx="11">
                  <c:v>51816</c:v>
                </c:pt>
                <c:pt idx="12">
                  <c:v>62408</c:v>
                </c:pt>
                <c:pt idx="13">
                  <c:v>74510</c:v>
                </c:pt>
                <c:pt idx="14">
                  <c:v>88185</c:v>
                </c:pt>
                <c:pt idx="15">
                  <c:v>103591</c:v>
                </c:pt>
                <c:pt idx="16">
                  <c:v>120895</c:v>
                </c:pt>
                <c:pt idx="17">
                  <c:v>140274</c:v>
                </c:pt>
                <c:pt idx="18">
                  <c:v>162032</c:v>
                </c:pt>
                <c:pt idx="19">
                  <c:v>186138</c:v>
                </c:pt>
                <c:pt idx="20">
                  <c:v>213038</c:v>
                </c:pt>
                <c:pt idx="21">
                  <c:v>242831</c:v>
                </c:pt>
                <c:pt idx="22">
                  <c:v>275607</c:v>
                </c:pt>
                <c:pt idx="23">
                  <c:v>311873</c:v>
                </c:pt>
                <c:pt idx="24">
                  <c:v>351591</c:v>
                </c:pt>
                <c:pt idx="25">
                  <c:v>395154</c:v>
                </c:pt>
                <c:pt idx="26">
                  <c:v>442827</c:v>
                </c:pt>
                <c:pt idx="27">
                  <c:v>494886</c:v>
                </c:pt>
                <c:pt idx="28">
                  <c:v>551433</c:v>
                </c:pt>
                <c:pt idx="29">
                  <c:v>612927</c:v>
                </c:pt>
                <c:pt idx="30">
                  <c:v>679672</c:v>
                </c:pt>
                <c:pt idx="31">
                  <c:v>751774</c:v>
                </c:pt>
                <c:pt idx="32">
                  <c:v>829744</c:v>
                </c:pt>
                <c:pt idx="33">
                  <c:v>913913</c:v>
                </c:pt>
                <c:pt idx="34">
                  <c:v>1004390</c:v>
                </c:pt>
                <c:pt idx="35">
                  <c:v>1101738</c:v>
                </c:pt>
                <c:pt idx="36">
                  <c:v>1206066</c:v>
                </c:pt>
                <c:pt idx="37">
                  <c:v>1317974</c:v>
                </c:pt>
                <c:pt idx="38">
                  <c:v>1437568</c:v>
                </c:pt>
                <c:pt idx="39">
                  <c:v>1565204</c:v>
                </c:pt>
                <c:pt idx="40">
                  <c:v>1701834</c:v>
                </c:pt>
                <c:pt idx="41">
                  <c:v>1846982</c:v>
                </c:pt>
                <c:pt idx="42">
                  <c:v>2001630</c:v>
                </c:pt>
                <c:pt idx="43">
                  <c:v>2165872</c:v>
                </c:pt>
                <c:pt idx="44">
                  <c:v>2340107</c:v>
                </c:pt>
                <c:pt idx="45">
                  <c:v>2525094</c:v>
                </c:pt>
                <c:pt idx="46">
                  <c:v>2721285</c:v>
                </c:pt>
                <c:pt idx="47">
                  <c:v>2928386</c:v>
                </c:pt>
                <c:pt idx="48">
                  <c:v>3147571</c:v>
                </c:pt>
                <c:pt idx="49">
                  <c:v>3378915</c:v>
                </c:pt>
                <c:pt idx="50">
                  <c:v>3622867</c:v>
                </c:pt>
                <c:pt idx="51">
                  <c:v>3879884</c:v>
                </c:pt>
                <c:pt idx="52">
                  <c:v>4150876</c:v>
                </c:pt>
                <c:pt idx="53">
                  <c:v>4435898</c:v>
                </c:pt>
                <c:pt idx="54">
                  <c:v>4735432</c:v>
                </c:pt>
                <c:pt idx="55">
                  <c:v>5049968</c:v>
                </c:pt>
                <c:pt idx="56">
                  <c:v>5380509</c:v>
                </c:pt>
                <c:pt idx="57">
                  <c:v>5726564</c:v>
                </c:pt>
                <c:pt idx="58">
                  <c:v>6089676</c:v>
                </c:pt>
                <c:pt idx="59">
                  <c:v>6469862</c:v>
                </c:pt>
                <c:pt idx="60">
                  <c:v>6867651</c:v>
                </c:pt>
                <c:pt idx="61">
                  <c:v>7283585</c:v>
                </c:pt>
                <c:pt idx="62">
                  <c:v>7718209</c:v>
                </c:pt>
                <c:pt idx="63">
                  <c:v>8172079</c:v>
                </c:pt>
                <c:pt idx="64">
                  <c:v>8645758</c:v>
                </c:pt>
                <c:pt idx="65">
                  <c:v>9140473</c:v>
                </c:pt>
                <c:pt idx="66">
                  <c:v>9655511</c:v>
                </c:pt>
                <c:pt idx="67">
                  <c:v>10192097</c:v>
                </c:pt>
                <c:pt idx="68">
                  <c:v>10751537</c:v>
                </c:pt>
                <c:pt idx="69">
                  <c:v>11333034</c:v>
                </c:pt>
                <c:pt idx="70">
                  <c:v>11937891</c:v>
                </c:pt>
                <c:pt idx="71">
                  <c:v>12567494</c:v>
                </c:pt>
                <c:pt idx="72">
                  <c:v>13220959</c:v>
                </c:pt>
                <c:pt idx="73">
                  <c:v>13899668</c:v>
                </c:pt>
                <c:pt idx="74">
                  <c:v>14604266</c:v>
                </c:pt>
                <c:pt idx="75">
                  <c:v>15335406</c:v>
                </c:pt>
                <c:pt idx="76">
                  <c:v>16093748</c:v>
                </c:pt>
                <c:pt idx="77">
                  <c:v>16879961</c:v>
                </c:pt>
                <c:pt idx="78">
                  <c:v>17694721</c:v>
                </c:pt>
                <c:pt idx="79">
                  <c:v>18538713</c:v>
                </c:pt>
                <c:pt idx="80">
                  <c:v>19412631</c:v>
                </c:pt>
                <c:pt idx="81">
                  <c:v>20316200</c:v>
                </c:pt>
                <c:pt idx="82">
                  <c:v>21251060</c:v>
                </c:pt>
                <c:pt idx="83">
                  <c:v>22218947</c:v>
                </c:pt>
                <c:pt idx="84">
                  <c:v>23218569</c:v>
                </c:pt>
                <c:pt idx="85">
                  <c:v>24251656</c:v>
                </c:pt>
                <c:pt idx="86">
                  <c:v>25318949</c:v>
                </c:pt>
                <c:pt idx="87">
                  <c:v>26420083</c:v>
                </c:pt>
                <c:pt idx="88">
                  <c:v>27558017</c:v>
                </c:pt>
                <c:pt idx="89">
                  <c:v>28731267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056128"/>
        <c:axId val="118739456"/>
      </c:lineChart>
      <c:catAx>
        <c:axId val="147056128"/>
        <c:scaling>
          <c:orientation val="minMax"/>
        </c:scaling>
        <c:delete val="0"/>
        <c:axPos val="b"/>
        <c:majorTickMark val="out"/>
        <c:minorTickMark val="none"/>
        <c:tickLblPos val="nextTo"/>
        <c:crossAx val="118739456"/>
        <c:crosses val="autoZero"/>
        <c:auto val="1"/>
        <c:lblAlgn val="ctr"/>
        <c:lblOffset val="100"/>
        <c:noMultiLvlLbl val="0"/>
      </c:catAx>
      <c:valAx>
        <c:axId val="118739456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470561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'레벨에 따른 획득 재화'!$H$6</c:f>
              <c:strCache>
                <c:ptCount val="1"/>
                <c:pt idx="0">
                  <c:v>몬스터 사냥을 통해 
얻게되는 재화</c:v>
                </c:pt>
              </c:strCache>
            </c:strRef>
          </c:tx>
          <c:marker>
            <c:symbol val="none"/>
          </c:marker>
          <c:val>
            <c:numRef>
              <c:f>'레벨에 따른 획득 재화'!$H$7:$H$96</c:f>
              <c:numCache>
                <c:formatCode>_(* #,##0_);_(* \(#,##0\);_(* "-"_);_(@_)</c:formatCode>
                <c:ptCount val="90"/>
                <c:pt idx="0">
                  <c:v>1105</c:v>
                </c:pt>
                <c:pt idx="1">
                  <c:v>3651</c:v>
                </c:pt>
                <c:pt idx="2">
                  <c:v>7536</c:v>
                </c:pt>
                <c:pt idx="3">
                  <c:v>12841</c:v>
                </c:pt>
                <c:pt idx="4">
                  <c:v>19680</c:v>
                </c:pt>
                <c:pt idx="5">
                  <c:v>28027</c:v>
                </c:pt>
                <c:pt idx="6">
                  <c:v>38219</c:v>
                </c:pt>
                <c:pt idx="7">
                  <c:v>50100</c:v>
                </c:pt>
                <c:pt idx="8">
                  <c:v>64238</c:v>
                </c:pt>
                <c:pt idx="9">
                  <c:v>80514</c:v>
                </c:pt>
                <c:pt idx="10">
                  <c:v>99373</c:v>
                </c:pt>
                <c:pt idx="11">
                  <c:v>120905</c:v>
                </c:pt>
                <c:pt idx="12">
                  <c:v>145618</c:v>
                </c:pt>
                <c:pt idx="13">
                  <c:v>173858</c:v>
                </c:pt>
                <c:pt idx="14">
                  <c:v>205766</c:v>
                </c:pt>
                <c:pt idx="15">
                  <c:v>241712</c:v>
                </c:pt>
                <c:pt idx="16">
                  <c:v>282087</c:v>
                </c:pt>
                <c:pt idx="17">
                  <c:v>327305</c:v>
                </c:pt>
                <c:pt idx="18">
                  <c:v>378074</c:v>
                </c:pt>
                <c:pt idx="19">
                  <c:v>434322</c:v>
                </c:pt>
                <c:pt idx="20">
                  <c:v>497088</c:v>
                </c:pt>
                <c:pt idx="21">
                  <c:v>566607</c:v>
                </c:pt>
                <c:pt idx="22">
                  <c:v>643084</c:v>
                </c:pt>
                <c:pt idx="23">
                  <c:v>727704</c:v>
                </c:pt>
                <c:pt idx="24">
                  <c:v>820378</c:v>
                </c:pt>
                <c:pt idx="25">
                  <c:v>922025</c:v>
                </c:pt>
                <c:pt idx="26">
                  <c:v>1033263</c:v>
                </c:pt>
                <c:pt idx="27">
                  <c:v>1154733</c:v>
                </c:pt>
                <c:pt idx="28">
                  <c:v>1286676</c:v>
                </c:pt>
                <c:pt idx="29">
                  <c:v>1430163</c:v>
                </c:pt>
                <c:pt idx="30">
                  <c:v>1585901</c:v>
                </c:pt>
                <c:pt idx="31">
                  <c:v>1754139</c:v>
                </c:pt>
                <c:pt idx="32">
                  <c:v>1936069</c:v>
                </c:pt>
                <c:pt idx="33">
                  <c:v>2132465</c:v>
                </c:pt>
                <c:pt idx="34">
                  <c:v>2343576</c:v>
                </c:pt>
                <c:pt idx="35">
                  <c:v>2570723</c:v>
                </c:pt>
                <c:pt idx="36">
                  <c:v>2814153</c:v>
                </c:pt>
                <c:pt idx="37">
                  <c:v>3075272</c:v>
                </c:pt>
                <c:pt idx="38">
                  <c:v>3354324</c:v>
                </c:pt>
                <c:pt idx="39">
                  <c:v>3652142</c:v>
                </c:pt>
                <c:pt idx="40">
                  <c:v>3970947</c:v>
                </c:pt>
                <c:pt idx="41">
                  <c:v>4309626</c:v>
                </c:pt>
                <c:pt idx="42">
                  <c:v>4670470</c:v>
                </c:pt>
                <c:pt idx="43">
                  <c:v>5053701</c:v>
                </c:pt>
                <c:pt idx="44">
                  <c:v>5460249</c:v>
                </c:pt>
                <c:pt idx="45">
                  <c:v>5891886</c:v>
                </c:pt>
                <c:pt idx="46">
                  <c:v>6349666</c:v>
                </c:pt>
                <c:pt idx="47">
                  <c:v>6832900</c:v>
                </c:pt>
                <c:pt idx="48">
                  <c:v>7344331</c:v>
                </c:pt>
                <c:pt idx="49">
                  <c:v>7884135</c:v>
                </c:pt>
                <c:pt idx="50">
                  <c:v>8453357</c:v>
                </c:pt>
                <c:pt idx="51">
                  <c:v>9053062</c:v>
                </c:pt>
                <c:pt idx="52">
                  <c:v>9685377</c:v>
                </c:pt>
                <c:pt idx="53">
                  <c:v>10350429</c:v>
                </c:pt>
                <c:pt idx="54">
                  <c:v>11049342</c:v>
                </c:pt>
                <c:pt idx="55">
                  <c:v>11783258</c:v>
                </c:pt>
                <c:pt idx="56">
                  <c:v>12554520</c:v>
                </c:pt>
                <c:pt idx="57">
                  <c:v>13361982</c:v>
                </c:pt>
                <c:pt idx="58">
                  <c:v>14209244</c:v>
                </c:pt>
                <c:pt idx="59">
                  <c:v>15096344</c:v>
                </c:pt>
                <c:pt idx="60">
                  <c:v>16024520</c:v>
                </c:pt>
                <c:pt idx="61">
                  <c:v>16995031</c:v>
                </c:pt>
                <c:pt idx="62">
                  <c:v>18009154</c:v>
                </c:pt>
                <c:pt idx="63">
                  <c:v>19068183</c:v>
                </c:pt>
                <c:pt idx="64">
                  <c:v>20173435</c:v>
                </c:pt>
                <c:pt idx="65">
                  <c:v>21327771</c:v>
                </c:pt>
                <c:pt idx="66">
                  <c:v>22529526</c:v>
                </c:pt>
                <c:pt idx="67">
                  <c:v>23781560</c:v>
                </c:pt>
                <c:pt idx="68">
                  <c:v>25086921</c:v>
                </c:pt>
                <c:pt idx="69">
                  <c:v>26443746</c:v>
                </c:pt>
                <c:pt idx="70">
                  <c:v>27855078</c:v>
                </c:pt>
                <c:pt idx="71">
                  <c:v>29324154</c:v>
                </c:pt>
                <c:pt idx="72">
                  <c:v>30848904</c:v>
                </c:pt>
                <c:pt idx="73">
                  <c:v>32432559</c:v>
                </c:pt>
                <c:pt idx="74">
                  <c:v>34076622</c:v>
                </c:pt>
                <c:pt idx="75">
                  <c:v>35782614</c:v>
                </c:pt>
                <c:pt idx="76">
                  <c:v>37552078</c:v>
                </c:pt>
                <c:pt idx="77">
                  <c:v>39386575</c:v>
                </c:pt>
                <c:pt idx="78">
                  <c:v>41287681</c:v>
                </c:pt>
                <c:pt idx="79">
                  <c:v>43256997</c:v>
                </c:pt>
                <c:pt idx="80">
                  <c:v>45296138</c:v>
                </c:pt>
                <c:pt idx="81">
                  <c:v>47404466</c:v>
                </c:pt>
                <c:pt idx="82">
                  <c:v>49585806</c:v>
                </c:pt>
                <c:pt idx="83">
                  <c:v>51844209</c:v>
                </c:pt>
                <c:pt idx="84">
                  <c:v>54176661</c:v>
                </c:pt>
                <c:pt idx="85">
                  <c:v>56587197</c:v>
                </c:pt>
                <c:pt idx="86">
                  <c:v>59077547</c:v>
                </c:pt>
                <c:pt idx="87">
                  <c:v>61646859</c:v>
                </c:pt>
                <c:pt idx="88">
                  <c:v>64302040</c:v>
                </c:pt>
                <c:pt idx="89">
                  <c:v>67039623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057152"/>
        <c:axId val="118741184"/>
      </c:lineChart>
      <c:catAx>
        <c:axId val="147057152"/>
        <c:scaling>
          <c:orientation val="minMax"/>
        </c:scaling>
        <c:delete val="0"/>
        <c:axPos val="b"/>
        <c:majorTickMark val="out"/>
        <c:minorTickMark val="none"/>
        <c:tickLblPos val="nextTo"/>
        <c:crossAx val="118741184"/>
        <c:crosses val="autoZero"/>
        <c:auto val="1"/>
        <c:lblAlgn val="ctr"/>
        <c:lblOffset val="100"/>
        <c:noMultiLvlLbl val="0"/>
      </c:catAx>
      <c:valAx>
        <c:axId val="118741184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47057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89648</xdr:colOff>
      <xdr:row>30</xdr:row>
      <xdr:rowOff>6723</xdr:rowOff>
    </xdr:from>
    <xdr:to>
      <xdr:col>7</xdr:col>
      <xdr:colOff>89648</xdr:colOff>
      <xdr:row>46</xdr:row>
      <xdr:rowOff>112058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829235</xdr:colOff>
      <xdr:row>29</xdr:row>
      <xdr:rowOff>186018</xdr:rowOff>
    </xdr:from>
    <xdr:to>
      <xdr:col>13</xdr:col>
      <xdr:colOff>717177</xdr:colOff>
      <xdr:row>46</xdr:row>
      <xdr:rowOff>112059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0</xdr:rowOff>
        </xdr:from>
        <xdr:to>
          <xdr:col>13</xdr:col>
          <xdr:colOff>0</xdr:colOff>
          <xdr:row>2</xdr:row>
          <xdr:rowOff>400050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en-US" altLang="ko-KR" sz="2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PVP </a:t>
              </a:r>
              <a:r>
                <a:rPr lang="ko-KR" altLang="en-US" sz="2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시뮬레이션 </a:t>
              </a:r>
              <a:r>
                <a:rPr lang="en-US" altLang="ko-KR" sz="2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VBA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981075</xdr:colOff>
      <xdr:row>4</xdr:row>
      <xdr:rowOff>66675</xdr:rowOff>
    </xdr:from>
    <xdr:to>
      <xdr:col>11</xdr:col>
      <xdr:colOff>285750</xdr:colOff>
      <xdr:row>21</xdr:row>
      <xdr:rowOff>95250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981075</xdr:colOff>
      <xdr:row>22</xdr:row>
      <xdr:rowOff>66674</xdr:rowOff>
    </xdr:from>
    <xdr:to>
      <xdr:col>11</xdr:col>
      <xdr:colOff>304800</xdr:colOff>
      <xdr:row>38</xdr:row>
      <xdr:rowOff>209549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285750</xdr:colOff>
      <xdr:row>4</xdr:row>
      <xdr:rowOff>409574</xdr:rowOff>
    </xdr:from>
    <xdr:to>
      <xdr:col>16</xdr:col>
      <xdr:colOff>628650</xdr:colOff>
      <xdr:row>20</xdr:row>
      <xdr:rowOff>123824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352983</xdr:colOff>
      <xdr:row>37</xdr:row>
      <xdr:rowOff>40900</xdr:rowOff>
    </xdr:from>
    <xdr:to>
      <xdr:col>17</xdr:col>
      <xdr:colOff>21849</xdr:colOff>
      <xdr:row>51</xdr:row>
      <xdr:rowOff>175931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369793</xdr:colOff>
      <xdr:row>21</xdr:row>
      <xdr:rowOff>152400</xdr:rowOff>
    </xdr:from>
    <xdr:to>
      <xdr:col>16</xdr:col>
      <xdr:colOff>649941</xdr:colOff>
      <xdr:row>35</xdr:row>
      <xdr:rowOff>201706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22411</xdr:colOff>
      <xdr:row>5</xdr:row>
      <xdr:rowOff>29134</xdr:rowOff>
    </xdr:from>
    <xdr:to>
      <xdr:col>18</xdr:col>
      <xdr:colOff>616324</xdr:colOff>
      <xdr:row>20</xdr:row>
      <xdr:rowOff>134469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11203</xdr:colOff>
      <xdr:row>21</xdr:row>
      <xdr:rowOff>174812</xdr:rowOff>
    </xdr:from>
    <xdr:to>
      <xdr:col>18</xdr:col>
      <xdr:colOff>661147</xdr:colOff>
      <xdr:row>37</xdr:row>
      <xdr:rowOff>11206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22410</xdr:colOff>
      <xdr:row>38</xdr:row>
      <xdr:rowOff>17928</xdr:rowOff>
    </xdr:from>
    <xdr:to>
      <xdr:col>19</xdr:col>
      <xdr:colOff>11205</xdr:colOff>
      <xdr:row>54</xdr:row>
      <xdr:rowOff>33617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428"/>
  <sheetViews>
    <sheetView tabSelected="1" topLeftCell="A22" zoomScale="85" zoomScaleNormal="85" workbookViewId="0">
      <selection activeCell="U42" sqref="U42"/>
    </sheetView>
  </sheetViews>
  <sheetFormatPr defaultRowHeight="16.5"/>
  <cols>
    <col min="1" max="1" width="1.625" customWidth="1"/>
    <col min="2" max="13" width="11.625" customWidth="1"/>
    <col min="14" max="18" width="10.625" customWidth="1"/>
    <col min="19" max="19" width="11.125" customWidth="1"/>
    <col min="20" max="24" width="10.625" customWidth="1"/>
    <col min="25" max="25" width="11.125" bestFit="1" customWidth="1"/>
    <col min="27" max="27" width="9.5" bestFit="1" customWidth="1"/>
    <col min="29" max="29" width="9" customWidth="1"/>
    <col min="30" max="30" width="10.5" bestFit="1" customWidth="1"/>
  </cols>
  <sheetData>
    <row r="1" spans="2:31" ht="14.25" customHeight="1" thickBot="1"/>
    <row r="2" spans="2:31" ht="42" customHeight="1" thickBot="1">
      <c r="B2" s="369" t="s">
        <v>9</v>
      </c>
      <c r="C2" s="370"/>
      <c r="D2" s="370"/>
      <c r="E2" s="370"/>
      <c r="F2" s="370"/>
      <c r="G2" s="370"/>
      <c r="H2" s="370"/>
      <c r="I2" s="371"/>
    </row>
    <row r="3" spans="2:31" ht="32.25" thickBot="1">
      <c r="B3" s="372" t="s">
        <v>70</v>
      </c>
      <c r="C3" s="373"/>
      <c r="D3" s="373"/>
      <c r="E3" s="373"/>
      <c r="F3" s="374"/>
      <c r="G3" s="375" t="s">
        <v>10</v>
      </c>
      <c r="H3" s="376"/>
      <c r="I3" s="377"/>
      <c r="J3" s="3"/>
      <c r="K3" s="3"/>
      <c r="L3" s="3"/>
      <c r="M3" s="3"/>
      <c r="N3" s="3"/>
      <c r="O3" s="395" t="s">
        <v>165</v>
      </c>
      <c r="P3" s="396"/>
    </row>
    <row r="4" spans="2:31" ht="17.25" thickBot="1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299"/>
      <c r="P4" s="300"/>
      <c r="Q4" s="301"/>
      <c r="R4" s="301"/>
      <c r="S4" s="301"/>
      <c r="T4" s="301"/>
      <c r="U4" s="301"/>
      <c r="V4" s="301"/>
      <c r="W4" s="301"/>
      <c r="X4" s="301"/>
      <c r="Y4" s="301"/>
      <c r="Z4" s="301"/>
      <c r="AA4" s="302"/>
    </row>
    <row r="5" spans="2:31" ht="26.25" customHeight="1" thickBot="1">
      <c r="B5" s="365" t="s">
        <v>11</v>
      </c>
      <c r="C5" s="366"/>
      <c r="D5" s="366"/>
      <c r="E5" s="366"/>
      <c r="F5" s="366"/>
      <c r="G5" s="366"/>
      <c r="H5" s="366"/>
      <c r="I5" s="366"/>
      <c r="J5" s="366"/>
      <c r="K5" s="366"/>
      <c r="L5" s="366"/>
      <c r="M5" s="367"/>
      <c r="N5" s="3"/>
      <c r="O5" s="303"/>
      <c r="P5" s="333" t="s">
        <v>43</v>
      </c>
      <c r="Q5" s="334"/>
      <c r="R5" s="2"/>
      <c r="S5" s="2"/>
      <c r="T5" s="2"/>
      <c r="U5" s="2"/>
      <c r="V5" s="2"/>
      <c r="W5" s="2"/>
      <c r="X5" s="2"/>
      <c r="Y5" s="2"/>
      <c r="Z5" s="2"/>
      <c r="AA5" s="304"/>
    </row>
    <row r="6" spans="2:31" ht="17.25" thickBot="1">
      <c r="B6" s="11"/>
      <c r="C6" s="79" t="s">
        <v>147</v>
      </c>
      <c r="D6" s="80" t="s">
        <v>148</v>
      </c>
      <c r="E6" s="80" t="s">
        <v>149</v>
      </c>
      <c r="F6" s="81" t="s">
        <v>150</v>
      </c>
      <c r="G6" s="4" t="s">
        <v>0</v>
      </c>
      <c r="H6" s="79" t="s">
        <v>1</v>
      </c>
      <c r="I6" s="81" t="s">
        <v>2</v>
      </c>
      <c r="J6" s="4" t="s">
        <v>12</v>
      </c>
      <c r="K6" s="5" t="s">
        <v>33</v>
      </c>
      <c r="L6" s="4" t="s">
        <v>34</v>
      </c>
      <c r="M6" s="5" t="s">
        <v>3</v>
      </c>
      <c r="N6" s="3"/>
      <c r="O6" s="303"/>
      <c r="P6" s="102"/>
      <c r="Q6" s="325" t="s">
        <v>8</v>
      </c>
      <c r="R6" s="322"/>
      <c r="S6" s="96" t="s">
        <v>32</v>
      </c>
      <c r="T6" s="100" t="s">
        <v>47</v>
      </c>
      <c r="U6" s="321" t="s">
        <v>37</v>
      </c>
      <c r="V6" s="321"/>
      <c r="W6" s="322"/>
      <c r="X6" s="2"/>
      <c r="Y6" s="2"/>
      <c r="Z6" s="2"/>
      <c r="AA6" s="304"/>
    </row>
    <row r="7" spans="2:31" ht="17.25" thickBot="1">
      <c r="B7" s="106" t="s">
        <v>4</v>
      </c>
      <c r="C7" s="54">
        <v>12</v>
      </c>
      <c r="D7" s="55">
        <v>15</v>
      </c>
      <c r="E7" s="12">
        <v>7</v>
      </c>
      <c r="F7" s="13">
        <v>1</v>
      </c>
      <c r="G7" s="14">
        <f>SUM(C7:F7)</f>
        <v>35</v>
      </c>
      <c r="H7" s="15">
        <f>D7*1.4</f>
        <v>21</v>
      </c>
      <c r="I7" s="57">
        <v>1.2</v>
      </c>
      <c r="J7" s="16">
        <f>H7/I7</f>
        <v>17.5</v>
      </c>
      <c r="K7" s="17">
        <f>J7*60</f>
        <v>1050</v>
      </c>
      <c r="L7" s="18">
        <f>C7*200</f>
        <v>2400</v>
      </c>
      <c r="M7" s="19">
        <f>(D7*0.35)+(E7*0.2)</f>
        <v>6.65</v>
      </c>
      <c r="N7" s="3"/>
      <c r="O7" s="303"/>
      <c r="P7" s="106" t="s">
        <v>4</v>
      </c>
      <c r="Q7" s="323" t="s">
        <v>151</v>
      </c>
      <c r="R7" s="324"/>
      <c r="S7" s="97" t="s">
        <v>38</v>
      </c>
      <c r="T7" s="101" t="s">
        <v>155</v>
      </c>
      <c r="U7" s="327" t="s">
        <v>156</v>
      </c>
      <c r="V7" s="328"/>
      <c r="W7" s="329"/>
      <c r="X7" s="2"/>
      <c r="Y7" s="2"/>
      <c r="Z7" s="2"/>
      <c r="AA7" s="304"/>
    </row>
    <row r="8" spans="2:31" ht="17.25" thickBot="1">
      <c r="B8" s="107" t="s">
        <v>5</v>
      </c>
      <c r="C8" s="20">
        <v>8</v>
      </c>
      <c r="D8" s="21">
        <v>11</v>
      </c>
      <c r="E8" s="22">
        <v>15</v>
      </c>
      <c r="F8" s="23">
        <v>1</v>
      </c>
      <c r="G8" s="24">
        <f>SUM(C8:F8)</f>
        <v>35</v>
      </c>
      <c r="H8" s="25">
        <f>E8*1.1</f>
        <v>16.5</v>
      </c>
      <c r="I8" s="57">
        <v>1.2</v>
      </c>
      <c r="J8" s="26">
        <f t="shared" ref="J8:J10" si="0">H8/I8</f>
        <v>13.75</v>
      </c>
      <c r="K8" s="27">
        <f t="shared" ref="K8:K10" si="1">J8*60</f>
        <v>825</v>
      </c>
      <c r="L8" s="28">
        <f>C8*200</f>
        <v>1600</v>
      </c>
      <c r="M8" s="19">
        <f t="shared" ref="M8:M9" si="2">(D8*0.35)+(E8*0.2)</f>
        <v>6.85</v>
      </c>
      <c r="N8" s="3"/>
      <c r="O8" s="303"/>
      <c r="P8" s="107" t="s">
        <v>5</v>
      </c>
      <c r="Q8" s="349" t="s">
        <v>152</v>
      </c>
      <c r="R8" s="350"/>
      <c r="S8" s="98" t="s">
        <v>38</v>
      </c>
      <c r="T8" s="101" t="s">
        <v>155</v>
      </c>
      <c r="U8" s="327" t="s">
        <v>156</v>
      </c>
      <c r="V8" s="328"/>
      <c r="W8" s="329"/>
      <c r="X8" s="2"/>
      <c r="Y8" s="2"/>
      <c r="Z8" s="2"/>
      <c r="AA8" s="304"/>
    </row>
    <row r="9" spans="2:31" ht="17.25" thickBot="1">
      <c r="B9" s="108" t="s">
        <v>6</v>
      </c>
      <c r="C9" s="29">
        <v>6</v>
      </c>
      <c r="D9" s="30">
        <v>12</v>
      </c>
      <c r="E9" s="31">
        <v>15</v>
      </c>
      <c r="F9" s="32">
        <v>2</v>
      </c>
      <c r="G9" s="24">
        <f t="shared" ref="G9:G10" si="3">SUM(C9:F9)</f>
        <v>35</v>
      </c>
      <c r="H9" s="33">
        <f>E9*1.2</f>
        <v>18</v>
      </c>
      <c r="I9" s="105">
        <v>1.05</v>
      </c>
      <c r="J9" s="26">
        <f t="shared" si="0"/>
        <v>17.142857142857142</v>
      </c>
      <c r="K9" s="27">
        <f t="shared" si="1"/>
        <v>1028.5714285714284</v>
      </c>
      <c r="L9" s="28">
        <f>C9*200</f>
        <v>1200</v>
      </c>
      <c r="M9" s="19">
        <f t="shared" si="2"/>
        <v>7.1999999999999993</v>
      </c>
      <c r="N9" s="3"/>
      <c r="O9" s="303"/>
      <c r="P9" s="108" t="s">
        <v>6</v>
      </c>
      <c r="Q9" s="349" t="s">
        <v>153</v>
      </c>
      <c r="R9" s="350"/>
      <c r="S9" s="98" t="s">
        <v>38</v>
      </c>
      <c r="T9" s="101" t="s">
        <v>155</v>
      </c>
      <c r="U9" s="327" t="s">
        <v>156</v>
      </c>
      <c r="V9" s="328"/>
      <c r="W9" s="329"/>
      <c r="X9" s="2"/>
      <c r="Y9" s="2"/>
      <c r="Z9" s="2"/>
      <c r="AA9" s="304"/>
    </row>
    <row r="10" spans="2:31" ht="17.25" thickBot="1">
      <c r="B10" s="109" t="s">
        <v>7</v>
      </c>
      <c r="C10" s="34">
        <v>7</v>
      </c>
      <c r="D10" s="35">
        <v>5</v>
      </c>
      <c r="E10" s="35">
        <v>8</v>
      </c>
      <c r="F10" s="36">
        <v>15</v>
      </c>
      <c r="G10" s="37">
        <f t="shared" si="3"/>
        <v>35</v>
      </c>
      <c r="H10" s="38">
        <f>F10*1.3</f>
        <v>19.5</v>
      </c>
      <c r="I10" s="57">
        <v>1.3</v>
      </c>
      <c r="J10" s="39">
        <f t="shared" si="0"/>
        <v>15</v>
      </c>
      <c r="K10" s="40">
        <f t="shared" si="1"/>
        <v>900</v>
      </c>
      <c r="L10" s="41">
        <f>C10*200</f>
        <v>1400</v>
      </c>
      <c r="M10" s="19">
        <f>(D10*0.35)+(E10*0.2)+(F10*0.25)</f>
        <v>7.1</v>
      </c>
      <c r="N10" s="3"/>
      <c r="O10" s="303"/>
      <c r="P10" s="109" t="s">
        <v>7</v>
      </c>
      <c r="Q10" s="351" t="s">
        <v>154</v>
      </c>
      <c r="R10" s="352"/>
      <c r="S10" s="99" t="s">
        <v>38</v>
      </c>
      <c r="T10" s="101" t="s">
        <v>155</v>
      </c>
      <c r="U10" s="378" t="s">
        <v>157</v>
      </c>
      <c r="V10" s="379"/>
      <c r="W10" s="380"/>
      <c r="X10" s="2"/>
      <c r="Y10" s="2"/>
      <c r="Z10" s="2"/>
      <c r="AA10" s="304"/>
    </row>
    <row r="11" spans="2:31" ht="17.25" thickBot="1">
      <c r="O11" s="303"/>
      <c r="P11" s="1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305"/>
      <c r="AB11" s="56"/>
      <c r="AC11" s="56"/>
      <c r="AD11" s="56"/>
      <c r="AE11" s="56"/>
    </row>
    <row r="12" spans="2:31" ht="24.75" thickBot="1">
      <c r="B12" s="356" t="s">
        <v>29</v>
      </c>
      <c r="C12" s="357"/>
      <c r="D12" s="357"/>
      <c r="E12" s="357"/>
      <c r="F12" s="358"/>
      <c r="J12" s="356" t="s">
        <v>44</v>
      </c>
      <c r="K12" s="357"/>
      <c r="L12" s="357"/>
      <c r="M12" s="358"/>
      <c r="O12" s="303"/>
      <c r="P12" s="2"/>
      <c r="Q12" s="2"/>
      <c r="R12" s="56"/>
      <c r="S12" s="56"/>
      <c r="T12" s="56"/>
      <c r="U12" s="56"/>
      <c r="V12" s="56"/>
      <c r="W12" s="56"/>
      <c r="X12" s="56"/>
      <c r="Y12" s="56"/>
      <c r="Z12" s="56"/>
      <c r="AA12" s="305"/>
      <c r="AB12" s="56"/>
      <c r="AC12" s="56"/>
      <c r="AD12" s="56"/>
      <c r="AE12" s="56"/>
    </row>
    <row r="13" spans="2:31" ht="27.75" customHeight="1" thickBot="1">
      <c r="B13" s="10"/>
      <c r="C13" s="9" t="s">
        <v>17</v>
      </c>
      <c r="D13" s="9" t="s">
        <v>18</v>
      </c>
      <c r="E13" s="9" t="s">
        <v>27</v>
      </c>
      <c r="F13" s="9" t="s">
        <v>28</v>
      </c>
      <c r="J13" s="82" t="s">
        <v>19</v>
      </c>
      <c r="K13" s="82" t="s">
        <v>13</v>
      </c>
      <c r="L13" s="83" t="s">
        <v>14</v>
      </c>
      <c r="M13" s="84" t="s">
        <v>20</v>
      </c>
      <c r="O13" s="306"/>
      <c r="P13" s="344" t="s">
        <v>39</v>
      </c>
      <c r="Q13" s="345"/>
      <c r="R13" s="56"/>
      <c r="S13" s="56"/>
      <c r="T13" s="56"/>
      <c r="U13" s="333" t="s">
        <v>58</v>
      </c>
      <c r="V13" s="388"/>
      <c r="W13" s="334"/>
      <c r="X13" s="56"/>
      <c r="Y13" s="56"/>
      <c r="Z13" s="56"/>
      <c r="AA13" s="305"/>
      <c r="AB13" s="56"/>
      <c r="AC13" s="56"/>
      <c r="AD13" s="56"/>
      <c r="AE13" s="56"/>
    </row>
    <row r="14" spans="2:31" ht="18" thickBot="1">
      <c r="B14" s="106" t="s">
        <v>4</v>
      </c>
      <c r="C14" s="6">
        <f>C7+(L14*90)</f>
        <v>192</v>
      </c>
      <c r="D14" s="7">
        <f>D7+(L15*90)</f>
        <v>375</v>
      </c>
      <c r="E14" s="8">
        <f>E7+(L16*90)</f>
        <v>277</v>
      </c>
      <c r="F14" s="53">
        <f>F7+(L17*90)</f>
        <v>91</v>
      </c>
      <c r="J14" s="359" t="s">
        <v>21</v>
      </c>
      <c r="K14" s="44" t="s">
        <v>16</v>
      </c>
      <c r="L14" s="45">
        <v>2</v>
      </c>
      <c r="M14" s="403">
        <f>SUM(L14:L17)</f>
        <v>10</v>
      </c>
      <c r="O14" s="303"/>
      <c r="P14" s="346" t="s">
        <v>40</v>
      </c>
      <c r="Q14" s="347"/>
      <c r="R14" s="347"/>
      <c r="S14" s="348"/>
      <c r="T14" s="89"/>
      <c r="U14" s="102"/>
      <c r="V14" s="325" t="s">
        <v>59</v>
      </c>
      <c r="W14" s="321"/>
      <c r="X14" s="322"/>
      <c r="Y14" s="56"/>
      <c r="Z14" s="56"/>
      <c r="AA14" s="305"/>
      <c r="AB14" s="56"/>
      <c r="AC14" s="56"/>
      <c r="AD14" s="56"/>
      <c r="AE14" s="56"/>
    </row>
    <row r="15" spans="2:31" ht="18" thickBot="1">
      <c r="B15" s="107" t="s">
        <v>5</v>
      </c>
      <c r="C15" s="6">
        <f>C8+(L18*90)</f>
        <v>188</v>
      </c>
      <c r="D15" s="7">
        <f>D8+(L19*90)</f>
        <v>191</v>
      </c>
      <c r="E15" s="8">
        <f>E8+(L20*90)</f>
        <v>465</v>
      </c>
      <c r="F15" s="53">
        <f>F8+(L21*90)</f>
        <v>91</v>
      </c>
      <c r="J15" s="360"/>
      <c r="K15" s="46" t="s">
        <v>15</v>
      </c>
      <c r="L15" s="47">
        <v>4</v>
      </c>
      <c r="M15" s="404"/>
      <c r="O15" s="303"/>
      <c r="P15" s="335" t="s">
        <v>41</v>
      </c>
      <c r="Q15" s="336"/>
      <c r="R15" s="336"/>
      <c r="S15" s="337"/>
      <c r="T15" s="90"/>
      <c r="U15" s="106" t="s">
        <v>4</v>
      </c>
      <c r="V15" s="323" t="s">
        <v>60</v>
      </c>
      <c r="W15" s="326"/>
      <c r="X15" s="324"/>
      <c r="Y15" s="88"/>
      <c r="Z15" s="56"/>
      <c r="AA15" s="305"/>
      <c r="AB15" s="56"/>
      <c r="AC15" s="56"/>
      <c r="AD15" s="56"/>
      <c r="AE15" s="56"/>
    </row>
    <row r="16" spans="2:31" ht="18" thickBot="1">
      <c r="B16" s="108" t="s">
        <v>6</v>
      </c>
      <c r="C16" s="6">
        <f>C9+(L22*90)</f>
        <v>186</v>
      </c>
      <c r="D16" s="7">
        <f>D9+(L23*90)</f>
        <v>282</v>
      </c>
      <c r="E16" s="8">
        <f>E9+(L24*90)</f>
        <v>375</v>
      </c>
      <c r="F16" s="53">
        <f>F9+(L25*90)</f>
        <v>92</v>
      </c>
      <c r="J16" s="360"/>
      <c r="K16" s="46" t="s">
        <v>22</v>
      </c>
      <c r="L16" s="47">
        <v>3</v>
      </c>
      <c r="M16" s="404"/>
      <c r="O16" s="303"/>
      <c r="P16" s="335" t="s">
        <v>42</v>
      </c>
      <c r="Q16" s="336"/>
      <c r="R16" s="336"/>
      <c r="S16" s="337"/>
      <c r="T16" s="90"/>
      <c r="U16" s="107" t="s">
        <v>5</v>
      </c>
      <c r="V16" s="349" t="s">
        <v>61</v>
      </c>
      <c r="W16" s="368"/>
      <c r="X16" s="350"/>
      <c r="Y16" s="88"/>
      <c r="Z16" s="56"/>
      <c r="AA16" s="305"/>
      <c r="AB16" s="56"/>
      <c r="AC16" s="56"/>
      <c r="AD16" s="56"/>
      <c r="AE16" s="56"/>
    </row>
    <row r="17" spans="2:31" ht="18" thickBot="1">
      <c r="B17" s="109" t="s">
        <v>7</v>
      </c>
      <c r="C17" s="6">
        <f>C10+(L26*90)</f>
        <v>187</v>
      </c>
      <c r="D17" s="7">
        <f>D10+(L27*90)</f>
        <v>95</v>
      </c>
      <c r="E17" s="8">
        <f>E10+(L28*90)</f>
        <v>278</v>
      </c>
      <c r="F17" s="53">
        <f>F10+(L29*90)</f>
        <v>375</v>
      </c>
      <c r="J17" s="361"/>
      <c r="K17" s="48" t="s">
        <v>23</v>
      </c>
      <c r="L17" s="49">
        <v>1</v>
      </c>
      <c r="M17" s="405"/>
      <c r="O17" s="303"/>
      <c r="P17" s="335" t="s">
        <v>45</v>
      </c>
      <c r="Q17" s="336"/>
      <c r="R17" s="336"/>
      <c r="S17" s="337"/>
      <c r="T17" s="90"/>
      <c r="U17" s="108" t="s">
        <v>6</v>
      </c>
      <c r="V17" s="349" t="s">
        <v>61</v>
      </c>
      <c r="W17" s="368"/>
      <c r="X17" s="350"/>
      <c r="Y17" s="56"/>
      <c r="Z17" s="56"/>
      <c r="AA17" s="305"/>
      <c r="AB17" s="56"/>
      <c r="AC17" s="56"/>
      <c r="AD17" s="56"/>
      <c r="AE17" s="56"/>
    </row>
    <row r="18" spans="2:31" ht="17.25" thickBot="1">
      <c r="J18" s="362" t="s">
        <v>24</v>
      </c>
      <c r="K18" s="44" t="s">
        <v>16</v>
      </c>
      <c r="L18" s="50">
        <v>2</v>
      </c>
      <c r="M18" s="353">
        <f>SUM(L18:L21)</f>
        <v>10</v>
      </c>
      <c r="O18" s="303"/>
      <c r="P18" s="338" t="s">
        <v>46</v>
      </c>
      <c r="Q18" s="339"/>
      <c r="R18" s="339"/>
      <c r="S18" s="340"/>
      <c r="T18" s="90"/>
      <c r="U18" s="109" t="s">
        <v>7</v>
      </c>
      <c r="V18" s="351" t="s">
        <v>62</v>
      </c>
      <c r="W18" s="387"/>
      <c r="X18" s="352"/>
      <c r="Y18" s="56"/>
      <c r="Z18" s="56"/>
      <c r="AA18" s="305"/>
      <c r="AB18" s="56"/>
      <c r="AC18" s="56"/>
      <c r="AD18" s="56"/>
      <c r="AE18" s="56"/>
    </row>
    <row r="19" spans="2:31" ht="24.75" thickBot="1">
      <c r="B19" s="365" t="s">
        <v>30</v>
      </c>
      <c r="C19" s="366"/>
      <c r="D19" s="366"/>
      <c r="E19" s="366"/>
      <c r="F19" s="366"/>
      <c r="G19" s="366"/>
      <c r="H19" s="367"/>
      <c r="J19" s="363"/>
      <c r="K19" s="46" t="s">
        <v>15</v>
      </c>
      <c r="L19" s="51">
        <v>2</v>
      </c>
      <c r="M19" s="354"/>
      <c r="O19" s="303"/>
      <c r="P19" s="341" t="s">
        <v>57</v>
      </c>
      <c r="Q19" s="342"/>
      <c r="R19" s="342"/>
      <c r="S19" s="343"/>
      <c r="T19" s="56"/>
      <c r="U19" s="56"/>
      <c r="V19" s="56"/>
      <c r="W19" s="56"/>
      <c r="X19" s="56"/>
      <c r="Y19" s="56"/>
      <c r="Z19" s="56"/>
      <c r="AA19" s="305"/>
      <c r="AB19" s="56"/>
      <c r="AC19" s="56"/>
      <c r="AD19" s="56"/>
      <c r="AE19" s="56"/>
    </row>
    <row r="20" spans="2:31" ht="17.25" thickBot="1">
      <c r="B20" s="58"/>
      <c r="C20" s="74" t="s">
        <v>31</v>
      </c>
      <c r="D20" s="75" t="s">
        <v>32</v>
      </c>
      <c r="E20" s="75" t="s">
        <v>12</v>
      </c>
      <c r="F20" s="76" t="s">
        <v>33</v>
      </c>
      <c r="G20" s="77" t="s">
        <v>34</v>
      </c>
      <c r="H20" s="78" t="s">
        <v>35</v>
      </c>
      <c r="J20" s="363"/>
      <c r="K20" s="46" t="s">
        <v>22</v>
      </c>
      <c r="L20" s="51">
        <v>5</v>
      </c>
      <c r="M20" s="354"/>
      <c r="O20" s="303"/>
      <c r="P20" s="2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305"/>
      <c r="AB20" s="56"/>
      <c r="AC20" s="56"/>
      <c r="AD20" s="56"/>
      <c r="AE20" s="56"/>
    </row>
    <row r="21" spans="2:31" ht="17.25" thickBot="1">
      <c r="B21" s="106" t="s">
        <v>4</v>
      </c>
      <c r="C21" s="59">
        <f>D14*1.4</f>
        <v>525</v>
      </c>
      <c r="D21" s="60">
        <v>1.2</v>
      </c>
      <c r="E21" s="61">
        <f>C21/D21</f>
        <v>437.5</v>
      </c>
      <c r="F21" s="61">
        <f>E21*60</f>
        <v>26250</v>
      </c>
      <c r="G21" s="62">
        <f>C14*150</f>
        <v>28800</v>
      </c>
      <c r="H21" s="63">
        <f>(D14*0.35)+(E14*0.2)</f>
        <v>186.65</v>
      </c>
      <c r="J21" s="364"/>
      <c r="K21" s="48" t="s">
        <v>23</v>
      </c>
      <c r="L21" s="52">
        <v>1</v>
      </c>
      <c r="M21" s="355"/>
      <c r="O21" s="303"/>
      <c r="P21" s="2"/>
      <c r="Q21" s="2"/>
      <c r="R21" s="298"/>
      <c r="S21" s="42"/>
      <c r="T21" s="42"/>
      <c r="U21" s="42"/>
      <c r="V21" s="42"/>
      <c r="W21" s="56"/>
      <c r="X21" s="56"/>
      <c r="Y21" s="56"/>
      <c r="Z21" s="56"/>
      <c r="AA21" s="305"/>
      <c r="AB21" s="56"/>
      <c r="AC21" s="56"/>
      <c r="AD21" s="56"/>
      <c r="AE21" s="56"/>
    </row>
    <row r="22" spans="2:31" ht="20.25" thickBot="1">
      <c r="B22" s="107" t="s">
        <v>5</v>
      </c>
      <c r="C22" s="64">
        <f>E15*1.1</f>
        <v>511.50000000000006</v>
      </c>
      <c r="D22" s="65">
        <v>1.2</v>
      </c>
      <c r="E22" s="66">
        <f t="shared" ref="E22:E24" si="4">C22/D22</f>
        <v>426.25000000000006</v>
      </c>
      <c r="F22" s="66">
        <f t="shared" ref="F22:F24" si="5">E22*60</f>
        <v>25575.000000000004</v>
      </c>
      <c r="G22" s="67">
        <f>C15*150</f>
        <v>28200</v>
      </c>
      <c r="H22" s="292">
        <f>(D15*0.35)+(E15*0.2)</f>
        <v>159.85</v>
      </c>
      <c r="J22" s="392" t="s">
        <v>25</v>
      </c>
      <c r="K22" s="44" t="s">
        <v>16</v>
      </c>
      <c r="L22" s="50">
        <v>2</v>
      </c>
      <c r="M22" s="353">
        <f>SUM(L22:L25)</f>
        <v>10</v>
      </c>
      <c r="O22" s="303"/>
      <c r="P22" s="333" t="s">
        <v>48</v>
      </c>
      <c r="Q22" s="334"/>
      <c r="R22" s="2"/>
      <c r="S22" s="2"/>
      <c r="T22" s="2"/>
      <c r="U22" s="2"/>
      <c r="V22" s="2"/>
      <c r="W22" s="2"/>
      <c r="X22" s="2"/>
      <c r="Y22" s="2"/>
      <c r="Z22" s="2"/>
      <c r="AA22" s="305"/>
      <c r="AB22" s="56"/>
      <c r="AC22" s="56"/>
      <c r="AD22" s="56"/>
      <c r="AE22" s="56"/>
    </row>
    <row r="23" spans="2:31" ht="17.25" thickBot="1">
      <c r="B23" s="108" t="s">
        <v>6</v>
      </c>
      <c r="C23" s="64">
        <f>E16*1.2</f>
        <v>450</v>
      </c>
      <c r="D23" s="65">
        <v>1.05</v>
      </c>
      <c r="E23" s="66">
        <f t="shared" si="4"/>
        <v>428.57142857142856</v>
      </c>
      <c r="F23" s="66">
        <f t="shared" si="5"/>
        <v>25714.285714285714</v>
      </c>
      <c r="G23" s="67">
        <f>C16*150</f>
        <v>27900</v>
      </c>
      <c r="H23" s="68">
        <f>(D16*0.35)+(E16*0.2)</f>
        <v>173.7</v>
      </c>
      <c r="J23" s="393"/>
      <c r="K23" s="46" t="s">
        <v>15</v>
      </c>
      <c r="L23" s="51">
        <v>3</v>
      </c>
      <c r="M23" s="354"/>
      <c r="O23" s="303"/>
      <c r="P23" s="102"/>
      <c r="Q23" s="325" t="s">
        <v>56</v>
      </c>
      <c r="R23" s="321"/>
      <c r="S23" s="321"/>
      <c r="T23" s="325" t="s">
        <v>55</v>
      </c>
      <c r="U23" s="321"/>
      <c r="V23" s="321"/>
      <c r="W23" s="321"/>
      <c r="X23" s="321"/>
      <c r="Y23" s="321"/>
      <c r="Z23" s="322"/>
      <c r="AA23" s="305"/>
      <c r="AB23" s="56"/>
      <c r="AC23" s="56"/>
      <c r="AD23" s="56"/>
      <c r="AE23" s="56"/>
    </row>
    <row r="24" spans="2:31" ht="17.25" thickBot="1">
      <c r="B24" s="109" t="s">
        <v>7</v>
      </c>
      <c r="C24" s="69">
        <f>F17*1.5</f>
        <v>562.5</v>
      </c>
      <c r="D24" s="70">
        <v>1.3</v>
      </c>
      <c r="E24" s="71">
        <f t="shared" si="4"/>
        <v>432.69230769230768</v>
      </c>
      <c r="F24" s="71">
        <f t="shared" si="5"/>
        <v>25961.538461538461</v>
      </c>
      <c r="G24" s="72">
        <f>C17*150</f>
        <v>28050</v>
      </c>
      <c r="H24" s="73">
        <f>(D17*0.35)+(E17*0.2)+(F17*0.25)</f>
        <v>182.6</v>
      </c>
      <c r="J24" s="393"/>
      <c r="K24" s="46" t="s">
        <v>22</v>
      </c>
      <c r="L24" s="51">
        <v>4</v>
      </c>
      <c r="M24" s="354"/>
      <c r="O24" s="303"/>
      <c r="P24" s="106" t="s">
        <v>4</v>
      </c>
      <c r="Q24" s="323" t="s">
        <v>49</v>
      </c>
      <c r="R24" s="326"/>
      <c r="S24" s="324"/>
      <c r="T24" s="323" t="s">
        <v>52</v>
      </c>
      <c r="U24" s="326"/>
      <c r="V24" s="326"/>
      <c r="W24" s="326"/>
      <c r="X24" s="326"/>
      <c r="Y24" s="326"/>
      <c r="Z24" s="324"/>
      <c r="AA24" s="305"/>
      <c r="AB24" s="56"/>
      <c r="AC24" s="56"/>
      <c r="AD24" s="56"/>
      <c r="AE24" s="56"/>
    </row>
    <row r="25" spans="2:31" ht="17.25" thickBot="1">
      <c r="J25" s="394"/>
      <c r="K25" s="48" t="s">
        <v>23</v>
      </c>
      <c r="L25" s="52">
        <v>1</v>
      </c>
      <c r="M25" s="355"/>
      <c r="O25" s="303"/>
      <c r="P25" s="107" t="s">
        <v>5</v>
      </c>
      <c r="Q25" s="349" t="s">
        <v>50</v>
      </c>
      <c r="R25" s="368"/>
      <c r="S25" s="350"/>
      <c r="T25" s="349" t="s">
        <v>53</v>
      </c>
      <c r="U25" s="368"/>
      <c r="V25" s="368"/>
      <c r="W25" s="368"/>
      <c r="X25" s="368"/>
      <c r="Y25" s="368"/>
      <c r="Z25" s="350"/>
      <c r="AA25" s="305"/>
      <c r="AB25" s="56"/>
      <c r="AC25" s="56"/>
      <c r="AD25" s="56"/>
      <c r="AE25" s="56"/>
    </row>
    <row r="26" spans="2:31" ht="17.25" thickBot="1">
      <c r="J26" s="401" t="s">
        <v>26</v>
      </c>
      <c r="K26" s="44" t="s">
        <v>16</v>
      </c>
      <c r="L26" s="50">
        <v>2</v>
      </c>
      <c r="M26" s="353">
        <f>SUM(L26:L29)</f>
        <v>10</v>
      </c>
      <c r="O26" s="303"/>
      <c r="P26" s="108" t="s">
        <v>6</v>
      </c>
      <c r="Q26" s="349" t="s">
        <v>50</v>
      </c>
      <c r="R26" s="368"/>
      <c r="S26" s="350"/>
      <c r="T26" s="349" t="s">
        <v>53</v>
      </c>
      <c r="U26" s="368"/>
      <c r="V26" s="368"/>
      <c r="W26" s="368"/>
      <c r="X26" s="368"/>
      <c r="Y26" s="368"/>
      <c r="Z26" s="350"/>
      <c r="AA26" s="305"/>
      <c r="AB26" s="56"/>
      <c r="AC26" s="56"/>
      <c r="AD26" s="56"/>
      <c r="AE26" s="56"/>
    </row>
    <row r="27" spans="2:31" ht="24.75" thickBot="1">
      <c r="B27" s="389" t="s">
        <v>36</v>
      </c>
      <c r="C27" s="390"/>
      <c r="D27" s="390"/>
      <c r="E27" s="391"/>
      <c r="F27" s="1"/>
      <c r="J27" s="401"/>
      <c r="K27" s="46" t="s">
        <v>15</v>
      </c>
      <c r="L27" s="51">
        <v>1</v>
      </c>
      <c r="M27" s="354"/>
      <c r="O27" s="303"/>
      <c r="P27" s="109" t="s">
        <v>7</v>
      </c>
      <c r="Q27" s="351" t="s">
        <v>51</v>
      </c>
      <c r="R27" s="387"/>
      <c r="S27" s="352"/>
      <c r="T27" s="351" t="s">
        <v>54</v>
      </c>
      <c r="U27" s="387"/>
      <c r="V27" s="387"/>
      <c r="W27" s="387"/>
      <c r="X27" s="387"/>
      <c r="Y27" s="387"/>
      <c r="Z27" s="352"/>
      <c r="AA27" s="305"/>
      <c r="AB27" s="56"/>
      <c r="AC27" s="56"/>
      <c r="AD27" s="56"/>
      <c r="AE27" s="56"/>
    </row>
    <row r="28" spans="2:31">
      <c r="B28" s="113" t="s">
        <v>21</v>
      </c>
      <c r="C28" s="111" t="s">
        <v>24</v>
      </c>
      <c r="D28" s="112" t="s">
        <v>25</v>
      </c>
      <c r="E28" s="110" t="s">
        <v>26</v>
      </c>
      <c r="J28" s="401"/>
      <c r="K28" s="46" t="s">
        <v>22</v>
      </c>
      <c r="L28" s="51">
        <v>3</v>
      </c>
      <c r="M28" s="354"/>
      <c r="O28" s="303"/>
      <c r="P28" s="2"/>
      <c r="Q28" s="56"/>
      <c r="R28" s="56"/>
      <c r="S28" s="42"/>
      <c r="T28" s="42"/>
      <c r="U28" s="42"/>
      <c r="V28" s="42"/>
      <c r="W28" s="42"/>
      <c r="X28" s="42"/>
      <c r="Y28" s="42"/>
      <c r="Z28" s="42"/>
      <c r="AA28" s="307"/>
      <c r="AB28" s="42"/>
      <c r="AC28" s="42"/>
      <c r="AD28" s="42"/>
      <c r="AE28" s="42"/>
    </row>
    <row r="29" spans="2:31" ht="17.25" thickBot="1">
      <c r="B29" s="85">
        <f>H21*15%</f>
        <v>27.997499999999999</v>
      </c>
      <c r="C29" s="86">
        <f>H22*15%</f>
        <v>23.977499999999999</v>
      </c>
      <c r="D29" s="86">
        <f>H23*15%</f>
        <v>26.054999999999996</v>
      </c>
      <c r="E29" s="87">
        <f>H24*15%</f>
        <v>27.389999999999997</v>
      </c>
      <c r="J29" s="402"/>
      <c r="K29" s="48" t="s">
        <v>23</v>
      </c>
      <c r="L29" s="52">
        <v>4</v>
      </c>
      <c r="M29" s="355"/>
      <c r="O29" s="308"/>
      <c r="P29" s="309"/>
      <c r="Q29" s="310"/>
      <c r="R29" s="310"/>
      <c r="S29" s="311"/>
      <c r="T29" s="311"/>
      <c r="U29" s="311"/>
      <c r="V29" s="311"/>
      <c r="W29" s="311"/>
      <c r="X29" s="311"/>
      <c r="Y29" s="311"/>
      <c r="Z29" s="311"/>
      <c r="AA29" s="312"/>
      <c r="AB29" s="42"/>
      <c r="AC29" s="42"/>
      <c r="AD29" s="42"/>
      <c r="AE29" s="56"/>
    </row>
    <row r="30" spans="2:31">
      <c r="J30" s="42"/>
      <c r="K30" s="42"/>
      <c r="L30" s="42"/>
      <c r="M30" s="43"/>
      <c r="Q30" s="56"/>
      <c r="R30" s="56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56"/>
      <c r="AD30" s="56"/>
      <c r="AE30" s="56"/>
    </row>
    <row r="31" spans="2:31">
      <c r="Q31" s="56"/>
      <c r="R31" s="56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56"/>
      <c r="AD31" s="56"/>
      <c r="AE31" s="56"/>
    </row>
    <row r="32" spans="2:31"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</row>
    <row r="33" spans="17:31"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</row>
    <row r="34" spans="17:31" ht="16.5" customHeight="1">
      <c r="Q34" s="56"/>
      <c r="R34" s="56"/>
      <c r="S34" s="42"/>
      <c r="T34" s="42"/>
      <c r="U34" s="42"/>
      <c r="V34" s="42"/>
      <c r="W34" s="42"/>
      <c r="X34" s="56"/>
      <c r="Y34" s="56"/>
      <c r="Z34" s="56"/>
      <c r="AA34" s="56"/>
      <c r="AB34" s="56"/>
      <c r="AC34" s="56"/>
      <c r="AD34" s="56"/>
      <c r="AE34" s="56"/>
    </row>
    <row r="35" spans="17:31">
      <c r="Q35" s="56"/>
      <c r="R35" s="56"/>
      <c r="S35" s="42"/>
      <c r="T35" s="42"/>
      <c r="U35" s="42"/>
      <c r="V35" s="42"/>
      <c r="W35" s="42"/>
      <c r="X35" s="56"/>
      <c r="Y35" s="56"/>
      <c r="Z35" s="56"/>
      <c r="AA35" s="56"/>
      <c r="AB35" s="56"/>
      <c r="AC35" s="56"/>
      <c r="AD35" s="56"/>
      <c r="AE35" s="56"/>
    </row>
    <row r="36" spans="17:31">
      <c r="Q36" s="56"/>
      <c r="R36" s="56"/>
      <c r="S36" s="42"/>
      <c r="T36" s="42"/>
      <c r="U36" s="42"/>
      <c r="V36" s="42"/>
      <c r="W36" s="42"/>
      <c r="X36" s="56"/>
      <c r="Y36" s="56"/>
      <c r="Z36" s="56"/>
      <c r="AA36" s="56"/>
      <c r="AB36" s="56"/>
      <c r="AC36" s="56"/>
      <c r="AD36" s="56"/>
      <c r="AE36" s="56"/>
    </row>
    <row r="37" spans="17:31">
      <c r="Q37" s="56"/>
      <c r="R37" s="56"/>
      <c r="S37" s="42"/>
      <c r="T37" s="42"/>
      <c r="U37" s="42"/>
      <c r="V37" s="42"/>
      <c r="W37" s="42"/>
      <c r="X37" s="56"/>
      <c r="Y37" s="56"/>
      <c r="Z37" s="56"/>
      <c r="AA37" s="56"/>
      <c r="AB37" s="56"/>
      <c r="AC37" s="56"/>
      <c r="AD37" s="56"/>
      <c r="AE37" s="56"/>
    </row>
    <row r="38" spans="17:31"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</row>
    <row r="39" spans="17:31"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</row>
    <row r="40" spans="17:31">
      <c r="Q40" s="56"/>
      <c r="R40" s="56"/>
      <c r="S40" s="42"/>
      <c r="T40" s="42"/>
      <c r="U40" s="42"/>
      <c r="V40" s="42"/>
      <c r="W40" s="42"/>
      <c r="X40" s="56"/>
      <c r="Y40" s="56"/>
      <c r="Z40" s="56"/>
      <c r="AA40" s="56"/>
      <c r="AB40" s="56"/>
      <c r="AC40" s="56"/>
      <c r="AD40" s="56"/>
      <c r="AE40" s="56"/>
    </row>
    <row r="41" spans="17:31">
      <c r="Q41" s="56"/>
      <c r="R41" s="56"/>
      <c r="S41" s="42"/>
      <c r="T41" s="42"/>
      <c r="U41" s="42"/>
      <c r="V41" s="42"/>
      <c r="W41" s="42"/>
      <c r="X41" s="56"/>
      <c r="Y41" s="56"/>
      <c r="Z41" s="56"/>
      <c r="AA41" s="56"/>
      <c r="AB41" s="56"/>
      <c r="AC41" s="56"/>
      <c r="AD41" s="56"/>
      <c r="AE41" s="56"/>
    </row>
    <row r="42" spans="17:31">
      <c r="Q42" s="56"/>
      <c r="R42" s="56"/>
      <c r="S42" s="42"/>
      <c r="T42" s="42"/>
      <c r="U42" s="42"/>
      <c r="V42" s="42"/>
      <c r="W42" s="42"/>
      <c r="X42" s="56"/>
      <c r="Y42" s="56"/>
      <c r="Z42" s="56"/>
      <c r="AA42" s="56"/>
      <c r="AB42" s="56"/>
      <c r="AC42" s="56"/>
      <c r="AD42" s="56"/>
      <c r="AE42" s="56"/>
    </row>
    <row r="43" spans="17:31">
      <c r="Q43" s="56"/>
      <c r="R43" s="56"/>
      <c r="S43" s="42"/>
      <c r="T43" s="42"/>
      <c r="U43" s="42"/>
      <c r="V43" s="42"/>
      <c r="W43" s="42"/>
      <c r="X43" s="56"/>
      <c r="Y43" s="56"/>
      <c r="Z43" s="56"/>
      <c r="AA43" s="56"/>
      <c r="AB43" s="56"/>
      <c r="AC43" s="56"/>
      <c r="AD43" s="56"/>
      <c r="AE43" s="56"/>
    </row>
    <row r="44" spans="17:31">
      <c r="Q44" s="56"/>
      <c r="R44" s="56"/>
      <c r="S44" s="42"/>
      <c r="T44" s="42"/>
      <c r="U44" s="42"/>
      <c r="V44" s="42"/>
      <c r="W44" s="42"/>
      <c r="X44" s="56"/>
      <c r="Y44" s="56"/>
      <c r="Z44" s="56"/>
      <c r="AA44" s="56"/>
      <c r="AB44" s="56"/>
      <c r="AC44" s="56"/>
      <c r="AD44" s="56"/>
      <c r="AE44" s="56"/>
    </row>
    <row r="45" spans="17:31">
      <c r="Q45" s="56"/>
      <c r="R45" s="56"/>
      <c r="S45" s="42"/>
      <c r="T45" s="42"/>
      <c r="U45" s="42"/>
      <c r="V45" s="42"/>
      <c r="W45" s="42"/>
      <c r="X45" s="56"/>
      <c r="Y45" s="56"/>
      <c r="Z45" s="56"/>
      <c r="AA45" s="56"/>
      <c r="AB45" s="56"/>
      <c r="AC45" s="56"/>
      <c r="AD45" s="56"/>
      <c r="AE45" s="56"/>
    </row>
    <row r="46" spans="17:31">
      <c r="Q46" s="56"/>
      <c r="R46" s="56"/>
      <c r="S46" s="42"/>
      <c r="T46" s="42"/>
      <c r="U46" s="42"/>
      <c r="V46" s="42"/>
      <c r="W46" s="42"/>
      <c r="X46" s="56"/>
      <c r="Y46" s="56"/>
      <c r="Z46" s="56"/>
      <c r="AA46" s="56"/>
      <c r="AB46" s="56"/>
      <c r="AC46" s="56"/>
      <c r="AD46" s="56"/>
      <c r="AE46" s="56"/>
    </row>
    <row r="47" spans="17:31"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</row>
    <row r="48" spans="17:31"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</row>
    <row r="49" spans="1:33" ht="17.25" thickBot="1">
      <c r="M49" s="114"/>
      <c r="Q49" s="56"/>
      <c r="R49" s="56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56"/>
      <c r="AE49" s="56"/>
    </row>
    <row r="50" spans="1:33" ht="17.25" thickBot="1">
      <c r="B50" s="115"/>
      <c r="C50" s="381" t="s">
        <v>63</v>
      </c>
      <c r="D50" s="382"/>
      <c r="E50" s="383" t="s">
        <v>63</v>
      </c>
      <c r="F50" s="384"/>
      <c r="G50" s="116"/>
      <c r="H50" s="117"/>
      <c r="I50" s="381" t="s">
        <v>63</v>
      </c>
      <c r="J50" s="382"/>
      <c r="K50" s="385" t="s">
        <v>68</v>
      </c>
      <c r="L50" s="386"/>
      <c r="M50" s="116"/>
      <c r="N50" s="117"/>
      <c r="O50" s="381" t="s">
        <v>63</v>
      </c>
      <c r="P50" s="382"/>
      <c r="Q50" s="397" t="s">
        <v>69</v>
      </c>
      <c r="R50" s="398"/>
      <c r="S50" s="118"/>
      <c r="T50" s="117"/>
      <c r="U50" s="381" t="s">
        <v>63</v>
      </c>
      <c r="V50" s="382"/>
      <c r="W50" s="399" t="s">
        <v>71</v>
      </c>
      <c r="X50" s="400"/>
      <c r="Y50" s="118"/>
      <c r="Z50" s="118"/>
      <c r="AA50" s="89"/>
      <c r="AB50" s="89"/>
      <c r="AC50" s="89"/>
      <c r="AD50" s="56"/>
      <c r="AE50" s="56"/>
    </row>
    <row r="51" spans="1:33" ht="17.25" thickBot="1">
      <c r="A51" s="56"/>
      <c r="B51" s="119" t="s">
        <v>64</v>
      </c>
      <c r="C51" s="119" t="s">
        <v>84</v>
      </c>
      <c r="D51" s="120" t="s">
        <v>66</v>
      </c>
      <c r="E51" s="119" t="s">
        <v>84</v>
      </c>
      <c r="F51" s="121" t="s">
        <v>67</v>
      </c>
      <c r="G51" s="122"/>
      <c r="H51" s="119" t="s">
        <v>64</v>
      </c>
      <c r="I51" s="119" t="s">
        <v>65</v>
      </c>
      <c r="J51" s="120" t="s">
        <v>66</v>
      </c>
      <c r="K51" s="119" t="s">
        <v>65</v>
      </c>
      <c r="L51" s="121" t="s">
        <v>67</v>
      </c>
      <c r="M51" s="122"/>
      <c r="N51" s="119" t="s">
        <v>64</v>
      </c>
      <c r="O51" s="119" t="s">
        <v>65</v>
      </c>
      <c r="P51" s="120" t="s">
        <v>66</v>
      </c>
      <c r="Q51" s="119" t="s">
        <v>65</v>
      </c>
      <c r="R51" s="121" t="s">
        <v>67</v>
      </c>
      <c r="S51" s="118"/>
      <c r="T51" s="119" t="s">
        <v>64</v>
      </c>
      <c r="U51" s="119" t="s">
        <v>65</v>
      </c>
      <c r="V51" s="120" t="s">
        <v>66</v>
      </c>
      <c r="W51" s="119" t="s">
        <v>65</v>
      </c>
      <c r="X51" s="121" t="s">
        <v>67</v>
      </c>
      <c r="Y51" s="118"/>
      <c r="Z51" s="118"/>
      <c r="AA51" s="89"/>
      <c r="AB51" s="89"/>
      <c r="AC51" s="89"/>
      <c r="AD51" s="56"/>
      <c r="AE51" s="56"/>
      <c r="AF51" s="56"/>
      <c r="AG51" s="56"/>
    </row>
    <row r="52" spans="1:33">
      <c r="A52" s="56"/>
      <c r="B52" s="123">
        <v>1</v>
      </c>
      <c r="C52" s="156">
        <f>ROUND(B52*$E$21,0)</f>
        <v>438</v>
      </c>
      <c r="D52" s="157">
        <f>ROUND(G21-($E$52-($E$52*$B$29%)),0)</f>
        <v>28485</v>
      </c>
      <c r="E52" s="156">
        <f>ROUND(B52*$E$21,0)</f>
        <v>438</v>
      </c>
      <c r="F52" s="158">
        <f>ROUND(G21-($C$52-($C$52*$B$29%)),0)</f>
        <v>28485</v>
      </c>
      <c r="G52" s="122"/>
      <c r="H52" s="124">
        <v>1</v>
      </c>
      <c r="I52" s="171">
        <f>ROUND(H52*$E$21,0)</f>
        <v>438</v>
      </c>
      <c r="J52" s="172">
        <f>ROUND(G21-($K$52-($K$52*$B$29%)),0)</f>
        <v>28493</v>
      </c>
      <c r="K52" s="171">
        <f>ROUND(H52*$E$22,0)</f>
        <v>426</v>
      </c>
      <c r="L52" s="173">
        <f>ROUND(G22-($I$52-($I$52*$C$29%)),0)</f>
        <v>27867</v>
      </c>
      <c r="M52" s="122"/>
      <c r="N52" s="124">
        <v>1</v>
      </c>
      <c r="O52" s="171">
        <f>ROUND(N52*$E$21,0)</f>
        <v>438</v>
      </c>
      <c r="P52" s="172">
        <f>ROUND(G21-($Q$52-($Q$52*$B$29%)),0)</f>
        <v>28491</v>
      </c>
      <c r="Q52" s="171">
        <f>ROUND(N52*$E$23,0)</f>
        <v>429</v>
      </c>
      <c r="R52" s="173">
        <f>ROUND(G23-($O$52-($O$52*$D$29%)),0)</f>
        <v>27576</v>
      </c>
      <c r="S52" s="118"/>
      <c r="T52" s="124">
        <v>1</v>
      </c>
      <c r="U52" s="171">
        <f>ROUND(T52*$E$21,0)</f>
        <v>438</v>
      </c>
      <c r="V52" s="172">
        <f>ROUND(G21-($W$52-($W$52*$B$29%)),0)</f>
        <v>28488</v>
      </c>
      <c r="W52" s="171">
        <f>ROUND(T52*$E$24,0)</f>
        <v>433</v>
      </c>
      <c r="X52" s="173">
        <f>ROUND(G24-($U$52-($U$52*$E$29%)),0)</f>
        <v>27732</v>
      </c>
      <c r="Y52" s="118"/>
      <c r="Z52" s="118"/>
      <c r="AA52" s="89"/>
      <c r="AB52" s="89"/>
      <c r="AC52" s="89"/>
      <c r="AD52" s="56"/>
      <c r="AE52" s="56"/>
      <c r="AF52" s="56"/>
      <c r="AG52" s="56"/>
    </row>
    <row r="53" spans="1:33">
      <c r="A53" s="56"/>
      <c r="B53" s="125">
        <v>2</v>
      </c>
      <c r="C53" s="159">
        <f t="shared" ref="C53:C116" si="6">ROUND(B53*$E$21,0)</f>
        <v>875</v>
      </c>
      <c r="D53" s="160">
        <f t="shared" ref="D53:D84" si="7">ROUND(D52-($E$52-($E$52*$B$29%)),0)</f>
        <v>28170</v>
      </c>
      <c r="E53" s="159">
        <f t="shared" ref="E53:E116" si="8">ROUND(B53*$E$21,0)</f>
        <v>875</v>
      </c>
      <c r="F53" s="161">
        <f t="shared" ref="F53:F84" si="9">ROUND(F52-($C$52-($C$52*$B$29%)),0)</f>
        <v>28170</v>
      </c>
      <c r="G53" s="122"/>
      <c r="H53" s="125">
        <v>2</v>
      </c>
      <c r="I53" s="159">
        <f t="shared" ref="I53:I116" si="10">ROUND(H53*$E$21,0)</f>
        <v>875</v>
      </c>
      <c r="J53" s="160">
        <f t="shared" ref="J53:J84" si="11">ROUND(J52-($K$52-($K$52*$B$29%)),0)</f>
        <v>28186</v>
      </c>
      <c r="K53" s="171">
        <f t="shared" ref="K53:K116" si="12">ROUND(H53*$E$22,0)</f>
        <v>853</v>
      </c>
      <c r="L53" s="161">
        <f t="shared" ref="L53:L84" si="13">ROUND(L52-($I$52-($I$52*$C$29%)),0)</f>
        <v>27534</v>
      </c>
      <c r="M53" s="122"/>
      <c r="N53" s="125">
        <v>2</v>
      </c>
      <c r="O53" s="159">
        <f t="shared" ref="O53:O116" si="14">ROUND(N53*$E$21,0)</f>
        <v>875</v>
      </c>
      <c r="P53" s="160">
        <f t="shared" ref="P53:P84" si="15">ROUND(P52-($Q$52-($Q$52*$B$29%)),0)</f>
        <v>28182</v>
      </c>
      <c r="Q53" s="171">
        <f t="shared" ref="Q53:Q116" si="16">ROUND(N53*$E$23,0)</f>
        <v>857</v>
      </c>
      <c r="R53" s="173">
        <f t="shared" ref="R53:R84" si="17">ROUND(R52-($O$52-($O$52*$D$29%)),0)</f>
        <v>27252</v>
      </c>
      <c r="S53" s="122"/>
      <c r="T53" s="125">
        <v>2</v>
      </c>
      <c r="U53" s="171">
        <f t="shared" ref="U53:U116" si="18">ROUND(T53*$E$21,0)</f>
        <v>875</v>
      </c>
      <c r="V53" s="160">
        <f t="shared" ref="V53:V84" si="19">ROUND(V52-($W$52-($W$52*$B$29%)),0)</f>
        <v>28176</v>
      </c>
      <c r="W53" s="171">
        <f t="shared" ref="W53:W116" si="20">ROUND(T53*$E$24,0)</f>
        <v>865</v>
      </c>
      <c r="X53" s="173">
        <f t="shared" ref="X53:X84" si="21">ROUND(X52-($U$52-($U$52*$E$29%)),0)</f>
        <v>27414</v>
      </c>
      <c r="Y53" s="122"/>
      <c r="Z53" s="122"/>
      <c r="AA53" s="56"/>
      <c r="AB53" s="56"/>
      <c r="AC53" s="56"/>
      <c r="AD53" s="56"/>
      <c r="AE53" s="56"/>
      <c r="AF53" s="56"/>
      <c r="AG53" s="56"/>
    </row>
    <row r="54" spans="1:33">
      <c r="A54" s="56"/>
      <c r="B54" s="125">
        <v>3</v>
      </c>
      <c r="C54" s="159">
        <f t="shared" si="6"/>
        <v>1313</v>
      </c>
      <c r="D54" s="160">
        <f t="shared" si="7"/>
        <v>27855</v>
      </c>
      <c r="E54" s="159">
        <f t="shared" si="8"/>
        <v>1313</v>
      </c>
      <c r="F54" s="161">
        <f t="shared" si="9"/>
        <v>27855</v>
      </c>
      <c r="G54" s="122"/>
      <c r="H54" s="125">
        <v>3</v>
      </c>
      <c r="I54" s="159">
        <f t="shared" si="10"/>
        <v>1313</v>
      </c>
      <c r="J54" s="160">
        <f t="shared" si="11"/>
        <v>27879</v>
      </c>
      <c r="K54" s="171">
        <f t="shared" si="12"/>
        <v>1279</v>
      </c>
      <c r="L54" s="161">
        <f t="shared" si="13"/>
        <v>27201</v>
      </c>
      <c r="M54" s="122"/>
      <c r="N54" s="125">
        <v>3</v>
      </c>
      <c r="O54" s="159">
        <f t="shared" si="14"/>
        <v>1313</v>
      </c>
      <c r="P54" s="160">
        <f t="shared" si="15"/>
        <v>27873</v>
      </c>
      <c r="Q54" s="171">
        <f t="shared" si="16"/>
        <v>1286</v>
      </c>
      <c r="R54" s="173">
        <f t="shared" si="17"/>
        <v>26928</v>
      </c>
      <c r="S54" s="122"/>
      <c r="T54" s="125">
        <v>3</v>
      </c>
      <c r="U54" s="171">
        <f t="shared" si="18"/>
        <v>1313</v>
      </c>
      <c r="V54" s="160">
        <f t="shared" si="19"/>
        <v>27864</v>
      </c>
      <c r="W54" s="171">
        <f t="shared" si="20"/>
        <v>1298</v>
      </c>
      <c r="X54" s="173">
        <f t="shared" si="21"/>
        <v>27096</v>
      </c>
      <c r="Y54" s="122"/>
      <c r="Z54" s="122"/>
      <c r="AA54" s="56"/>
      <c r="AB54" s="56"/>
      <c r="AC54" s="56"/>
      <c r="AD54" s="56"/>
      <c r="AE54" s="56"/>
      <c r="AF54" s="56"/>
      <c r="AG54" s="56"/>
    </row>
    <row r="55" spans="1:33">
      <c r="A55" s="56"/>
      <c r="B55" s="125">
        <v>4</v>
      </c>
      <c r="C55" s="159">
        <f t="shared" si="6"/>
        <v>1750</v>
      </c>
      <c r="D55" s="160">
        <f t="shared" si="7"/>
        <v>27540</v>
      </c>
      <c r="E55" s="159">
        <f t="shared" si="8"/>
        <v>1750</v>
      </c>
      <c r="F55" s="161">
        <f t="shared" si="9"/>
        <v>27540</v>
      </c>
      <c r="G55" s="122"/>
      <c r="H55" s="125">
        <v>4</v>
      </c>
      <c r="I55" s="159">
        <f t="shared" si="10"/>
        <v>1750</v>
      </c>
      <c r="J55" s="160">
        <f t="shared" si="11"/>
        <v>27572</v>
      </c>
      <c r="K55" s="171">
        <f t="shared" si="12"/>
        <v>1705</v>
      </c>
      <c r="L55" s="161">
        <f t="shared" si="13"/>
        <v>26868</v>
      </c>
      <c r="M55" s="122"/>
      <c r="N55" s="125">
        <v>4</v>
      </c>
      <c r="O55" s="159">
        <f t="shared" si="14"/>
        <v>1750</v>
      </c>
      <c r="P55" s="160">
        <f t="shared" si="15"/>
        <v>27564</v>
      </c>
      <c r="Q55" s="171">
        <f t="shared" si="16"/>
        <v>1714</v>
      </c>
      <c r="R55" s="173">
        <f t="shared" si="17"/>
        <v>26604</v>
      </c>
      <c r="S55" s="122"/>
      <c r="T55" s="125">
        <v>4</v>
      </c>
      <c r="U55" s="171">
        <f t="shared" si="18"/>
        <v>1750</v>
      </c>
      <c r="V55" s="160">
        <f t="shared" si="19"/>
        <v>27552</v>
      </c>
      <c r="W55" s="171">
        <f t="shared" si="20"/>
        <v>1731</v>
      </c>
      <c r="X55" s="173">
        <f t="shared" si="21"/>
        <v>26778</v>
      </c>
      <c r="Y55" s="122"/>
      <c r="Z55" s="122"/>
      <c r="AA55" s="56"/>
      <c r="AB55" s="56"/>
      <c r="AC55" s="56"/>
      <c r="AD55" s="56"/>
      <c r="AE55" s="56"/>
      <c r="AF55" s="56"/>
      <c r="AG55" s="56"/>
    </row>
    <row r="56" spans="1:33">
      <c r="A56" s="56"/>
      <c r="B56" s="125">
        <v>5</v>
      </c>
      <c r="C56" s="159">
        <f t="shared" si="6"/>
        <v>2188</v>
      </c>
      <c r="D56" s="160">
        <f t="shared" si="7"/>
        <v>27225</v>
      </c>
      <c r="E56" s="159">
        <f t="shared" si="8"/>
        <v>2188</v>
      </c>
      <c r="F56" s="161">
        <f t="shared" si="9"/>
        <v>27225</v>
      </c>
      <c r="G56" s="118"/>
      <c r="H56" s="125">
        <v>5</v>
      </c>
      <c r="I56" s="159">
        <f t="shared" si="10"/>
        <v>2188</v>
      </c>
      <c r="J56" s="160">
        <f t="shared" si="11"/>
        <v>27265</v>
      </c>
      <c r="K56" s="171">
        <f t="shared" si="12"/>
        <v>2131</v>
      </c>
      <c r="L56" s="161">
        <f t="shared" si="13"/>
        <v>26535</v>
      </c>
      <c r="M56" s="118"/>
      <c r="N56" s="125">
        <v>5</v>
      </c>
      <c r="O56" s="159">
        <f t="shared" si="14"/>
        <v>2188</v>
      </c>
      <c r="P56" s="160">
        <f t="shared" si="15"/>
        <v>27255</v>
      </c>
      <c r="Q56" s="171">
        <f t="shared" si="16"/>
        <v>2143</v>
      </c>
      <c r="R56" s="173">
        <f t="shared" si="17"/>
        <v>26280</v>
      </c>
      <c r="S56" s="118"/>
      <c r="T56" s="125">
        <v>5</v>
      </c>
      <c r="U56" s="171">
        <f t="shared" si="18"/>
        <v>2188</v>
      </c>
      <c r="V56" s="160">
        <f t="shared" si="19"/>
        <v>27240</v>
      </c>
      <c r="W56" s="171">
        <f t="shared" si="20"/>
        <v>2163</v>
      </c>
      <c r="X56" s="173">
        <f t="shared" si="21"/>
        <v>26460</v>
      </c>
      <c r="Y56" s="118"/>
      <c r="Z56" s="118"/>
      <c r="AA56" s="89"/>
      <c r="AB56" s="89"/>
      <c r="AC56" s="89"/>
      <c r="AD56" s="89"/>
      <c r="AE56" s="56"/>
      <c r="AF56" s="56"/>
      <c r="AG56" s="56"/>
    </row>
    <row r="57" spans="1:33">
      <c r="A57" s="56"/>
      <c r="B57" s="125">
        <v>6</v>
      </c>
      <c r="C57" s="159">
        <f t="shared" si="6"/>
        <v>2625</v>
      </c>
      <c r="D57" s="160">
        <f t="shared" si="7"/>
        <v>26910</v>
      </c>
      <c r="E57" s="159">
        <f t="shared" si="8"/>
        <v>2625</v>
      </c>
      <c r="F57" s="161">
        <f t="shared" si="9"/>
        <v>26910</v>
      </c>
      <c r="G57" s="126"/>
      <c r="H57" s="125">
        <v>6</v>
      </c>
      <c r="I57" s="159">
        <f t="shared" si="10"/>
        <v>2625</v>
      </c>
      <c r="J57" s="160">
        <f t="shared" si="11"/>
        <v>26958</v>
      </c>
      <c r="K57" s="171">
        <f t="shared" si="12"/>
        <v>2558</v>
      </c>
      <c r="L57" s="161">
        <f t="shared" si="13"/>
        <v>26202</v>
      </c>
      <c r="M57" s="127"/>
      <c r="N57" s="125">
        <v>6</v>
      </c>
      <c r="O57" s="159">
        <f t="shared" si="14"/>
        <v>2625</v>
      </c>
      <c r="P57" s="160">
        <f t="shared" si="15"/>
        <v>26946</v>
      </c>
      <c r="Q57" s="171">
        <f t="shared" si="16"/>
        <v>2571</v>
      </c>
      <c r="R57" s="173">
        <f t="shared" si="17"/>
        <v>25956</v>
      </c>
      <c r="S57" s="127"/>
      <c r="T57" s="125">
        <v>6</v>
      </c>
      <c r="U57" s="171">
        <f t="shared" si="18"/>
        <v>2625</v>
      </c>
      <c r="V57" s="160">
        <f t="shared" si="19"/>
        <v>26928</v>
      </c>
      <c r="W57" s="171">
        <f t="shared" si="20"/>
        <v>2596</v>
      </c>
      <c r="X57" s="173">
        <f t="shared" si="21"/>
        <v>26142</v>
      </c>
      <c r="Y57" s="126"/>
      <c r="Z57" s="126"/>
      <c r="AA57" s="92"/>
      <c r="AB57" s="92"/>
      <c r="AC57" s="91"/>
      <c r="AD57" s="92"/>
      <c r="AE57" s="56"/>
      <c r="AF57" s="56"/>
      <c r="AG57" s="56"/>
    </row>
    <row r="58" spans="1:33">
      <c r="A58" s="56"/>
      <c r="B58" s="125">
        <v>7</v>
      </c>
      <c r="C58" s="159">
        <f t="shared" si="6"/>
        <v>3063</v>
      </c>
      <c r="D58" s="160">
        <f t="shared" si="7"/>
        <v>26595</v>
      </c>
      <c r="E58" s="159">
        <f t="shared" si="8"/>
        <v>3063</v>
      </c>
      <c r="F58" s="161">
        <f t="shared" si="9"/>
        <v>26595</v>
      </c>
      <c r="G58" s="128"/>
      <c r="H58" s="125">
        <v>7</v>
      </c>
      <c r="I58" s="159">
        <f t="shared" si="10"/>
        <v>3063</v>
      </c>
      <c r="J58" s="160">
        <f t="shared" si="11"/>
        <v>26651</v>
      </c>
      <c r="K58" s="171">
        <f t="shared" si="12"/>
        <v>2984</v>
      </c>
      <c r="L58" s="161">
        <f t="shared" si="13"/>
        <v>25869</v>
      </c>
      <c r="M58" s="127"/>
      <c r="N58" s="125">
        <v>7</v>
      </c>
      <c r="O58" s="159">
        <f t="shared" si="14"/>
        <v>3063</v>
      </c>
      <c r="P58" s="160">
        <f t="shared" si="15"/>
        <v>26637</v>
      </c>
      <c r="Q58" s="171">
        <f t="shared" si="16"/>
        <v>3000</v>
      </c>
      <c r="R58" s="173">
        <f t="shared" si="17"/>
        <v>25632</v>
      </c>
      <c r="S58" s="127"/>
      <c r="T58" s="125">
        <v>7</v>
      </c>
      <c r="U58" s="171">
        <f t="shared" si="18"/>
        <v>3063</v>
      </c>
      <c r="V58" s="160">
        <f t="shared" si="19"/>
        <v>26616</v>
      </c>
      <c r="W58" s="171">
        <f t="shared" si="20"/>
        <v>3029</v>
      </c>
      <c r="X58" s="173">
        <f t="shared" si="21"/>
        <v>25824</v>
      </c>
      <c r="Y58" s="127"/>
      <c r="Z58" s="128"/>
      <c r="AA58" s="92"/>
      <c r="AB58" s="92"/>
      <c r="AC58" s="93"/>
      <c r="AD58" s="92"/>
      <c r="AE58" s="56"/>
      <c r="AF58" s="56"/>
      <c r="AG58" s="56"/>
    </row>
    <row r="59" spans="1:33">
      <c r="A59" s="56"/>
      <c r="B59" s="125">
        <v>8</v>
      </c>
      <c r="C59" s="159">
        <f t="shared" si="6"/>
        <v>3500</v>
      </c>
      <c r="D59" s="160">
        <f t="shared" si="7"/>
        <v>26280</v>
      </c>
      <c r="E59" s="159">
        <f t="shared" si="8"/>
        <v>3500</v>
      </c>
      <c r="F59" s="161">
        <f t="shared" si="9"/>
        <v>26280</v>
      </c>
      <c r="G59" s="128"/>
      <c r="H59" s="125">
        <v>8</v>
      </c>
      <c r="I59" s="159">
        <f t="shared" si="10"/>
        <v>3500</v>
      </c>
      <c r="J59" s="160">
        <f t="shared" si="11"/>
        <v>26344</v>
      </c>
      <c r="K59" s="171">
        <f t="shared" si="12"/>
        <v>3410</v>
      </c>
      <c r="L59" s="161">
        <f t="shared" si="13"/>
        <v>25536</v>
      </c>
      <c r="M59" s="127"/>
      <c r="N59" s="125">
        <v>8</v>
      </c>
      <c r="O59" s="159">
        <f t="shared" si="14"/>
        <v>3500</v>
      </c>
      <c r="P59" s="160">
        <f t="shared" si="15"/>
        <v>26328</v>
      </c>
      <c r="Q59" s="171">
        <f t="shared" si="16"/>
        <v>3429</v>
      </c>
      <c r="R59" s="173">
        <f t="shared" si="17"/>
        <v>25308</v>
      </c>
      <c r="S59" s="127"/>
      <c r="T59" s="125">
        <v>8</v>
      </c>
      <c r="U59" s="171">
        <f t="shared" si="18"/>
        <v>3500</v>
      </c>
      <c r="V59" s="160">
        <f t="shared" si="19"/>
        <v>26304</v>
      </c>
      <c r="W59" s="171">
        <f t="shared" si="20"/>
        <v>3462</v>
      </c>
      <c r="X59" s="173">
        <f t="shared" si="21"/>
        <v>25506</v>
      </c>
      <c r="Y59" s="127"/>
      <c r="Z59" s="128"/>
      <c r="AA59" s="92"/>
      <c r="AB59" s="92"/>
      <c r="AC59" s="93"/>
      <c r="AD59" s="92"/>
      <c r="AE59" s="56"/>
      <c r="AF59" s="56"/>
      <c r="AG59" s="56"/>
    </row>
    <row r="60" spans="1:33">
      <c r="A60" s="56"/>
      <c r="B60" s="125">
        <v>9</v>
      </c>
      <c r="C60" s="159">
        <f t="shared" si="6"/>
        <v>3938</v>
      </c>
      <c r="D60" s="160">
        <f t="shared" si="7"/>
        <v>25965</v>
      </c>
      <c r="E60" s="159">
        <f t="shared" si="8"/>
        <v>3938</v>
      </c>
      <c r="F60" s="161">
        <f t="shared" si="9"/>
        <v>25965</v>
      </c>
      <c r="G60" s="128"/>
      <c r="H60" s="125">
        <v>9</v>
      </c>
      <c r="I60" s="159">
        <f t="shared" si="10"/>
        <v>3938</v>
      </c>
      <c r="J60" s="160">
        <f t="shared" si="11"/>
        <v>26037</v>
      </c>
      <c r="K60" s="171">
        <f t="shared" si="12"/>
        <v>3836</v>
      </c>
      <c r="L60" s="161">
        <f t="shared" si="13"/>
        <v>25203</v>
      </c>
      <c r="M60" s="127"/>
      <c r="N60" s="125">
        <v>9</v>
      </c>
      <c r="O60" s="159">
        <f t="shared" si="14"/>
        <v>3938</v>
      </c>
      <c r="P60" s="160">
        <f t="shared" si="15"/>
        <v>26019</v>
      </c>
      <c r="Q60" s="171">
        <f t="shared" si="16"/>
        <v>3857</v>
      </c>
      <c r="R60" s="173">
        <f t="shared" si="17"/>
        <v>24984</v>
      </c>
      <c r="S60" s="127"/>
      <c r="T60" s="125">
        <v>9</v>
      </c>
      <c r="U60" s="171">
        <f t="shared" si="18"/>
        <v>3938</v>
      </c>
      <c r="V60" s="160">
        <f t="shared" si="19"/>
        <v>25992</v>
      </c>
      <c r="W60" s="171">
        <f t="shared" si="20"/>
        <v>3894</v>
      </c>
      <c r="X60" s="173">
        <f t="shared" si="21"/>
        <v>25188</v>
      </c>
      <c r="Y60" s="127"/>
      <c r="Z60" s="128"/>
      <c r="AA60" s="92"/>
      <c r="AB60" s="92"/>
      <c r="AC60" s="93"/>
      <c r="AD60" s="92"/>
      <c r="AE60" s="56"/>
      <c r="AF60" s="56"/>
      <c r="AG60" s="56"/>
    </row>
    <row r="61" spans="1:33">
      <c r="B61" s="129">
        <v>10</v>
      </c>
      <c r="C61" s="162">
        <f t="shared" si="6"/>
        <v>4375</v>
      </c>
      <c r="D61" s="163">
        <f t="shared" si="7"/>
        <v>25650</v>
      </c>
      <c r="E61" s="162">
        <f t="shared" si="8"/>
        <v>4375</v>
      </c>
      <c r="F61" s="164">
        <f t="shared" si="9"/>
        <v>25650</v>
      </c>
      <c r="G61" s="128"/>
      <c r="H61" s="129">
        <v>10</v>
      </c>
      <c r="I61" s="162">
        <f t="shared" si="10"/>
        <v>4375</v>
      </c>
      <c r="J61" s="163">
        <f t="shared" si="11"/>
        <v>25730</v>
      </c>
      <c r="K61" s="180">
        <f t="shared" si="12"/>
        <v>4263</v>
      </c>
      <c r="L61" s="164">
        <f t="shared" si="13"/>
        <v>24870</v>
      </c>
      <c r="M61" s="127"/>
      <c r="N61" s="129">
        <v>10</v>
      </c>
      <c r="O61" s="162">
        <f t="shared" si="14"/>
        <v>4375</v>
      </c>
      <c r="P61" s="163">
        <f t="shared" si="15"/>
        <v>25710</v>
      </c>
      <c r="Q61" s="180">
        <f t="shared" si="16"/>
        <v>4286</v>
      </c>
      <c r="R61" s="187">
        <f t="shared" si="17"/>
        <v>24660</v>
      </c>
      <c r="S61" s="127"/>
      <c r="T61" s="129">
        <v>10</v>
      </c>
      <c r="U61" s="180">
        <f t="shared" si="18"/>
        <v>4375</v>
      </c>
      <c r="V61" s="163">
        <f t="shared" si="19"/>
        <v>25680</v>
      </c>
      <c r="W61" s="180">
        <f t="shared" si="20"/>
        <v>4327</v>
      </c>
      <c r="X61" s="187">
        <f t="shared" si="21"/>
        <v>24870</v>
      </c>
      <c r="Y61" s="127"/>
      <c r="Z61" s="128"/>
      <c r="AA61" s="92"/>
      <c r="AB61" s="92"/>
      <c r="AC61" s="93"/>
      <c r="AD61" s="92"/>
    </row>
    <row r="62" spans="1:33">
      <c r="B62" s="125">
        <v>11</v>
      </c>
      <c r="C62" s="159">
        <f t="shared" si="6"/>
        <v>4813</v>
      </c>
      <c r="D62" s="160">
        <f t="shared" si="7"/>
        <v>25335</v>
      </c>
      <c r="E62" s="159">
        <f t="shared" si="8"/>
        <v>4813</v>
      </c>
      <c r="F62" s="161">
        <f t="shared" si="9"/>
        <v>25335</v>
      </c>
      <c r="G62" s="128"/>
      <c r="H62" s="125">
        <v>11</v>
      </c>
      <c r="I62" s="159">
        <f t="shared" si="10"/>
        <v>4813</v>
      </c>
      <c r="J62" s="160">
        <f t="shared" si="11"/>
        <v>25423</v>
      </c>
      <c r="K62" s="171">
        <f t="shared" si="12"/>
        <v>4689</v>
      </c>
      <c r="L62" s="161">
        <f t="shared" si="13"/>
        <v>24537</v>
      </c>
      <c r="M62" s="127"/>
      <c r="N62" s="125">
        <v>11</v>
      </c>
      <c r="O62" s="159">
        <f t="shared" si="14"/>
        <v>4813</v>
      </c>
      <c r="P62" s="160">
        <f t="shared" si="15"/>
        <v>25401</v>
      </c>
      <c r="Q62" s="171">
        <f t="shared" si="16"/>
        <v>4714</v>
      </c>
      <c r="R62" s="173">
        <f t="shared" si="17"/>
        <v>24336</v>
      </c>
      <c r="S62" s="127"/>
      <c r="T62" s="125">
        <v>11</v>
      </c>
      <c r="U62" s="171">
        <f t="shared" si="18"/>
        <v>4813</v>
      </c>
      <c r="V62" s="160">
        <f t="shared" si="19"/>
        <v>25368</v>
      </c>
      <c r="W62" s="171">
        <f t="shared" si="20"/>
        <v>4760</v>
      </c>
      <c r="X62" s="173">
        <f t="shared" si="21"/>
        <v>24552</v>
      </c>
      <c r="Y62" s="127"/>
      <c r="Z62" s="128"/>
      <c r="AA62" s="92"/>
      <c r="AB62" s="92"/>
      <c r="AC62" s="93"/>
      <c r="AD62" s="92"/>
    </row>
    <row r="63" spans="1:33">
      <c r="B63" s="125">
        <v>12</v>
      </c>
      <c r="C63" s="159">
        <f t="shared" si="6"/>
        <v>5250</v>
      </c>
      <c r="D63" s="160">
        <f t="shared" si="7"/>
        <v>25020</v>
      </c>
      <c r="E63" s="159">
        <f t="shared" si="8"/>
        <v>5250</v>
      </c>
      <c r="F63" s="161">
        <f t="shared" si="9"/>
        <v>25020</v>
      </c>
      <c r="G63" s="128"/>
      <c r="H63" s="125">
        <v>12</v>
      </c>
      <c r="I63" s="159">
        <f t="shared" si="10"/>
        <v>5250</v>
      </c>
      <c r="J63" s="160">
        <f t="shared" si="11"/>
        <v>25116</v>
      </c>
      <c r="K63" s="171">
        <f t="shared" si="12"/>
        <v>5115</v>
      </c>
      <c r="L63" s="161">
        <f t="shared" si="13"/>
        <v>24204</v>
      </c>
      <c r="M63" s="127"/>
      <c r="N63" s="125">
        <v>12</v>
      </c>
      <c r="O63" s="159">
        <f t="shared" si="14"/>
        <v>5250</v>
      </c>
      <c r="P63" s="160">
        <f t="shared" si="15"/>
        <v>25092</v>
      </c>
      <c r="Q63" s="171">
        <f t="shared" si="16"/>
        <v>5143</v>
      </c>
      <c r="R63" s="173">
        <f t="shared" si="17"/>
        <v>24012</v>
      </c>
      <c r="S63" s="127"/>
      <c r="T63" s="125">
        <v>12</v>
      </c>
      <c r="U63" s="171">
        <f t="shared" si="18"/>
        <v>5250</v>
      </c>
      <c r="V63" s="160">
        <f t="shared" si="19"/>
        <v>25056</v>
      </c>
      <c r="W63" s="171">
        <f t="shared" si="20"/>
        <v>5192</v>
      </c>
      <c r="X63" s="173">
        <f t="shared" si="21"/>
        <v>24234</v>
      </c>
      <c r="Y63" s="127"/>
      <c r="Z63" s="128"/>
      <c r="AA63" s="92"/>
      <c r="AB63" s="92"/>
      <c r="AC63" s="93"/>
      <c r="AD63" s="92"/>
    </row>
    <row r="64" spans="1:33">
      <c r="B64" s="125">
        <v>13</v>
      </c>
      <c r="C64" s="159">
        <f t="shared" si="6"/>
        <v>5688</v>
      </c>
      <c r="D64" s="160">
        <f t="shared" si="7"/>
        <v>24705</v>
      </c>
      <c r="E64" s="159">
        <f t="shared" si="8"/>
        <v>5688</v>
      </c>
      <c r="F64" s="161">
        <f t="shared" si="9"/>
        <v>24705</v>
      </c>
      <c r="G64" s="128"/>
      <c r="H64" s="125">
        <v>13</v>
      </c>
      <c r="I64" s="159">
        <f t="shared" si="10"/>
        <v>5688</v>
      </c>
      <c r="J64" s="160">
        <f t="shared" si="11"/>
        <v>24809</v>
      </c>
      <c r="K64" s="171">
        <f t="shared" si="12"/>
        <v>5541</v>
      </c>
      <c r="L64" s="161">
        <f t="shared" si="13"/>
        <v>23871</v>
      </c>
      <c r="M64" s="127"/>
      <c r="N64" s="125">
        <v>13</v>
      </c>
      <c r="O64" s="159">
        <f t="shared" si="14"/>
        <v>5688</v>
      </c>
      <c r="P64" s="160">
        <f t="shared" si="15"/>
        <v>24783</v>
      </c>
      <c r="Q64" s="171">
        <f t="shared" si="16"/>
        <v>5571</v>
      </c>
      <c r="R64" s="173">
        <f t="shared" si="17"/>
        <v>23688</v>
      </c>
      <c r="S64" s="127"/>
      <c r="T64" s="125">
        <v>13</v>
      </c>
      <c r="U64" s="171">
        <f t="shared" si="18"/>
        <v>5688</v>
      </c>
      <c r="V64" s="160">
        <f t="shared" si="19"/>
        <v>24744</v>
      </c>
      <c r="W64" s="171">
        <f t="shared" si="20"/>
        <v>5625</v>
      </c>
      <c r="X64" s="173">
        <f t="shared" si="21"/>
        <v>23916</v>
      </c>
      <c r="Y64" s="127"/>
      <c r="Z64" s="128"/>
      <c r="AA64" s="92"/>
      <c r="AB64" s="92"/>
      <c r="AC64" s="93"/>
      <c r="AD64" s="92"/>
    </row>
    <row r="65" spans="2:30">
      <c r="B65" s="125">
        <v>14</v>
      </c>
      <c r="C65" s="159">
        <f t="shared" si="6"/>
        <v>6125</v>
      </c>
      <c r="D65" s="160">
        <f t="shared" si="7"/>
        <v>24390</v>
      </c>
      <c r="E65" s="159">
        <f t="shared" si="8"/>
        <v>6125</v>
      </c>
      <c r="F65" s="161">
        <f t="shared" si="9"/>
        <v>24390</v>
      </c>
      <c r="G65" s="128"/>
      <c r="H65" s="125">
        <v>14</v>
      </c>
      <c r="I65" s="159">
        <f t="shared" si="10"/>
        <v>6125</v>
      </c>
      <c r="J65" s="160">
        <f t="shared" si="11"/>
        <v>24502</v>
      </c>
      <c r="K65" s="171">
        <f t="shared" si="12"/>
        <v>5968</v>
      </c>
      <c r="L65" s="161">
        <f t="shared" si="13"/>
        <v>23538</v>
      </c>
      <c r="M65" s="127"/>
      <c r="N65" s="125">
        <v>14</v>
      </c>
      <c r="O65" s="159">
        <f t="shared" si="14"/>
        <v>6125</v>
      </c>
      <c r="P65" s="160">
        <f t="shared" si="15"/>
        <v>24474</v>
      </c>
      <c r="Q65" s="171">
        <f t="shared" si="16"/>
        <v>6000</v>
      </c>
      <c r="R65" s="173">
        <f t="shared" si="17"/>
        <v>23364</v>
      </c>
      <c r="S65" s="127"/>
      <c r="T65" s="125">
        <v>14</v>
      </c>
      <c r="U65" s="171">
        <f t="shared" si="18"/>
        <v>6125</v>
      </c>
      <c r="V65" s="160">
        <f t="shared" si="19"/>
        <v>24432</v>
      </c>
      <c r="W65" s="171">
        <f t="shared" si="20"/>
        <v>6058</v>
      </c>
      <c r="X65" s="173">
        <f t="shared" si="21"/>
        <v>23598</v>
      </c>
      <c r="Y65" s="127"/>
      <c r="Z65" s="128"/>
      <c r="AA65" s="92"/>
      <c r="AB65" s="92"/>
      <c r="AC65" s="93"/>
      <c r="AD65" s="92"/>
    </row>
    <row r="66" spans="2:30">
      <c r="B66" s="125">
        <v>15</v>
      </c>
      <c r="C66" s="159">
        <f t="shared" si="6"/>
        <v>6563</v>
      </c>
      <c r="D66" s="160">
        <f t="shared" si="7"/>
        <v>24075</v>
      </c>
      <c r="E66" s="159">
        <f t="shared" si="8"/>
        <v>6563</v>
      </c>
      <c r="F66" s="161">
        <f t="shared" si="9"/>
        <v>24075</v>
      </c>
      <c r="G66" s="128"/>
      <c r="H66" s="125">
        <v>15</v>
      </c>
      <c r="I66" s="159">
        <f t="shared" si="10"/>
        <v>6563</v>
      </c>
      <c r="J66" s="160">
        <f t="shared" si="11"/>
        <v>24195</v>
      </c>
      <c r="K66" s="171">
        <f t="shared" si="12"/>
        <v>6394</v>
      </c>
      <c r="L66" s="161">
        <f t="shared" si="13"/>
        <v>23205</v>
      </c>
      <c r="M66" s="127"/>
      <c r="N66" s="125">
        <v>15</v>
      </c>
      <c r="O66" s="159">
        <f t="shared" si="14"/>
        <v>6563</v>
      </c>
      <c r="P66" s="160">
        <f t="shared" si="15"/>
        <v>24165</v>
      </c>
      <c r="Q66" s="171">
        <f t="shared" si="16"/>
        <v>6429</v>
      </c>
      <c r="R66" s="173">
        <f t="shared" si="17"/>
        <v>23040</v>
      </c>
      <c r="S66" s="127"/>
      <c r="T66" s="125">
        <v>15</v>
      </c>
      <c r="U66" s="171">
        <f t="shared" si="18"/>
        <v>6563</v>
      </c>
      <c r="V66" s="160">
        <f t="shared" si="19"/>
        <v>24120</v>
      </c>
      <c r="W66" s="171">
        <f t="shared" si="20"/>
        <v>6490</v>
      </c>
      <c r="X66" s="173">
        <f t="shared" si="21"/>
        <v>23280</v>
      </c>
      <c r="Y66" s="127"/>
      <c r="Z66" s="128"/>
      <c r="AA66" s="92"/>
      <c r="AB66" s="92"/>
      <c r="AC66" s="93"/>
      <c r="AD66" s="92"/>
    </row>
    <row r="67" spans="2:30">
      <c r="B67" s="125">
        <v>16</v>
      </c>
      <c r="C67" s="159">
        <f t="shared" si="6"/>
        <v>7000</v>
      </c>
      <c r="D67" s="160">
        <f t="shared" si="7"/>
        <v>23760</v>
      </c>
      <c r="E67" s="159">
        <f t="shared" si="8"/>
        <v>7000</v>
      </c>
      <c r="F67" s="161">
        <f t="shared" si="9"/>
        <v>23760</v>
      </c>
      <c r="G67" s="128"/>
      <c r="H67" s="125">
        <v>16</v>
      </c>
      <c r="I67" s="159">
        <f t="shared" si="10"/>
        <v>7000</v>
      </c>
      <c r="J67" s="160">
        <f t="shared" si="11"/>
        <v>23888</v>
      </c>
      <c r="K67" s="171">
        <f t="shared" si="12"/>
        <v>6820</v>
      </c>
      <c r="L67" s="161">
        <f t="shared" si="13"/>
        <v>22872</v>
      </c>
      <c r="M67" s="127"/>
      <c r="N67" s="125">
        <v>16</v>
      </c>
      <c r="O67" s="159">
        <f t="shared" si="14"/>
        <v>7000</v>
      </c>
      <c r="P67" s="160">
        <f t="shared" si="15"/>
        <v>23856</v>
      </c>
      <c r="Q67" s="171">
        <f t="shared" si="16"/>
        <v>6857</v>
      </c>
      <c r="R67" s="173">
        <f t="shared" si="17"/>
        <v>22716</v>
      </c>
      <c r="S67" s="127"/>
      <c r="T67" s="125">
        <v>16</v>
      </c>
      <c r="U67" s="171">
        <f t="shared" si="18"/>
        <v>7000</v>
      </c>
      <c r="V67" s="160">
        <f t="shared" si="19"/>
        <v>23808</v>
      </c>
      <c r="W67" s="171">
        <f t="shared" si="20"/>
        <v>6923</v>
      </c>
      <c r="X67" s="173">
        <f t="shared" si="21"/>
        <v>22962</v>
      </c>
      <c r="Y67" s="127"/>
      <c r="Z67" s="128"/>
      <c r="AA67" s="92"/>
      <c r="AB67" s="92"/>
      <c r="AC67" s="93"/>
      <c r="AD67" s="92"/>
    </row>
    <row r="68" spans="2:30">
      <c r="B68" s="125">
        <v>17</v>
      </c>
      <c r="C68" s="159">
        <f t="shared" si="6"/>
        <v>7438</v>
      </c>
      <c r="D68" s="160">
        <f t="shared" si="7"/>
        <v>23445</v>
      </c>
      <c r="E68" s="159">
        <f t="shared" si="8"/>
        <v>7438</v>
      </c>
      <c r="F68" s="161">
        <f t="shared" si="9"/>
        <v>23445</v>
      </c>
      <c r="G68" s="128"/>
      <c r="H68" s="125">
        <v>17</v>
      </c>
      <c r="I68" s="159">
        <f t="shared" si="10"/>
        <v>7438</v>
      </c>
      <c r="J68" s="160">
        <f t="shared" si="11"/>
        <v>23581</v>
      </c>
      <c r="K68" s="171">
        <f t="shared" si="12"/>
        <v>7246</v>
      </c>
      <c r="L68" s="161">
        <f t="shared" si="13"/>
        <v>22539</v>
      </c>
      <c r="M68" s="127"/>
      <c r="N68" s="125">
        <v>17</v>
      </c>
      <c r="O68" s="159">
        <f t="shared" si="14"/>
        <v>7438</v>
      </c>
      <c r="P68" s="160">
        <f t="shared" si="15"/>
        <v>23547</v>
      </c>
      <c r="Q68" s="171">
        <f t="shared" si="16"/>
        <v>7286</v>
      </c>
      <c r="R68" s="173">
        <f t="shared" si="17"/>
        <v>22392</v>
      </c>
      <c r="S68" s="127"/>
      <c r="T68" s="125">
        <v>17</v>
      </c>
      <c r="U68" s="171">
        <f t="shared" si="18"/>
        <v>7438</v>
      </c>
      <c r="V68" s="160">
        <f t="shared" si="19"/>
        <v>23496</v>
      </c>
      <c r="W68" s="171">
        <f t="shared" si="20"/>
        <v>7356</v>
      </c>
      <c r="X68" s="173">
        <f t="shared" si="21"/>
        <v>22644</v>
      </c>
      <c r="Y68" s="127"/>
      <c r="Z68" s="128"/>
      <c r="AA68" s="92"/>
      <c r="AB68" s="92"/>
      <c r="AC68" s="93"/>
      <c r="AD68" s="92"/>
    </row>
    <row r="69" spans="2:30">
      <c r="B69" s="125">
        <v>18</v>
      </c>
      <c r="C69" s="159">
        <f t="shared" si="6"/>
        <v>7875</v>
      </c>
      <c r="D69" s="160">
        <f t="shared" si="7"/>
        <v>23130</v>
      </c>
      <c r="E69" s="159">
        <f t="shared" si="8"/>
        <v>7875</v>
      </c>
      <c r="F69" s="161">
        <f t="shared" si="9"/>
        <v>23130</v>
      </c>
      <c r="G69" s="128"/>
      <c r="H69" s="125">
        <v>18</v>
      </c>
      <c r="I69" s="159">
        <f t="shared" si="10"/>
        <v>7875</v>
      </c>
      <c r="J69" s="160">
        <f t="shared" si="11"/>
        <v>23274</v>
      </c>
      <c r="K69" s="171">
        <f t="shared" si="12"/>
        <v>7673</v>
      </c>
      <c r="L69" s="161">
        <f t="shared" si="13"/>
        <v>22206</v>
      </c>
      <c r="M69" s="127"/>
      <c r="N69" s="125">
        <v>18</v>
      </c>
      <c r="O69" s="159">
        <f t="shared" si="14"/>
        <v>7875</v>
      </c>
      <c r="P69" s="160">
        <f t="shared" si="15"/>
        <v>23238</v>
      </c>
      <c r="Q69" s="171">
        <f t="shared" si="16"/>
        <v>7714</v>
      </c>
      <c r="R69" s="173">
        <f t="shared" si="17"/>
        <v>22068</v>
      </c>
      <c r="S69" s="127"/>
      <c r="T69" s="125">
        <v>18</v>
      </c>
      <c r="U69" s="171">
        <f t="shared" si="18"/>
        <v>7875</v>
      </c>
      <c r="V69" s="160">
        <f t="shared" si="19"/>
        <v>23184</v>
      </c>
      <c r="W69" s="171">
        <f t="shared" si="20"/>
        <v>7788</v>
      </c>
      <c r="X69" s="173">
        <f t="shared" si="21"/>
        <v>22326</v>
      </c>
      <c r="Y69" s="127"/>
      <c r="Z69" s="128"/>
      <c r="AA69" s="92"/>
      <c r="AB69" s="92"/>
      <c r="AC69" s="93"/>
      <c r="AD69" s="92"/>
    </row>
    <row r="70" spans="2:30">
      <c r="B70" s="125">
        <v>19</v>
      </c>
      <c r="C70" s="159">
        <f t="shared" si="6"/>
        <v>8313</v>
      </c>
      <c r="D70" s="160">
        <f t="shared" si="7"/>
        <v>22815</v>
      </c>
      <c r="E70" s="159">
        <f t="shared" si="8"/>
        <v>8313</v>
      </c>
      <c r="F70" s="161">
        <f t="shared" si="9"/>
        <v>22815</v>
      </c>
      <c r="G70" s="128"/>
      <c r="H70" s="125">
        <v>19</v>
      </c>
      <c r="I70" s="159">
        <f t="shared" si="10"/>
        <v>8313</v>
      </c>
      <c r="J70" s="160">
        <f t="shared" si="11"/>
        <v>22967</v>
      </c>
      <c r="K70" s="171">
        <f t="shared" si="12"/>
        <v>8099</v>
      </c>
      <c r="L70" s="161">
        <f t="shared" si="13"/>
        <v>21873</v>
      </c>
      <c r="M70" s="127"/>
      <c r="N70" s="125">
        <v>19</v>
      </c>
      <c r="O70" s="159">
        <f t="shared" si="14"/>
        <v>8313</v>
      </c>
      <c r="P70" s="160">
        <f t="shared" si="15"/>
        <v>22929</v>
      </c>
      <c r="Q70" s="171">
        <f t="shared" si="16"/>
        <v>8143</v>
      </c>
      <c r="R70" s="173">
        <f t="shared" si="17"/>
        <v>21744</v>
      </c>
      <c r="S70" s="127"/>
      <c r="T70" s="125">
        <v>19</v>
      </c>
      <c r="U70" s="171">
        <f t="shared" si="18"/>
        <v>8313</v>
      </c>
      <c r="V70" s="160">
        <f t="shared" si="19"/>
        <v>22872</v>
      </c>
      <c r="W70" s="171">
        <f t="shared" si="20"/>
        <v>8221</v>
      </c>
      <c r="X70" s="173">
        <f t="shared" si="21"/>
        <v>22008</v>
      </c>
      <c r="Y70" s="127"/>
      <c r="Z70" s="128"/>
      <c r="AA70" s="92"/>
      <c r="AB70" s="92"/>
      <c r="AC70" s="93"/>
      <c r="AD70" s="92"/>
    </row>
    <row r="71" spans="2:30">
      <c r="B71" s="129">
        <v>20</v>
      </c>
      <c r="C71" s="162">
        <f t="shared" si="6"/>
        <v>8750</v>
      </c>
      <c r="D71" s="163">
        <f t="shared" si="7"/>
        <v>22500</v>
      </c>
      <c r="E71" s="162">
        <f t="shared" si="8"/>
        <v>8750</v>
      </c>
      <c r="F71" s="164">
        <f t="shared" si="9"/>
        <v>22500</v>
      </c>
      <c r="G71" s="128"/>
      <c r="H71" s="129">
        <v>20</v>
      </c>
      <c r="I71" s="162">
        <f t="shared" si="10"/>
        <v>8750</v>
      </c>
      <c r="J71" s="163">
        <f t="shared" si="11"/>
        <v>22660</v>
      </c>
      <c r="K71" s="180">
        <f t="shared" si="12"/>
        <v>8525</v>
      </c>
      <c r="L71" s="164">
        <f t="shared" si="13"/>
        <v>21540</v>
      </c>
      <c r="M71" s="127"/>
      <c r="N71" s="129">
        <v>20</v>
      </c>
      <c r="O71" s="162">
        <f t="shared" si="14"/>
        <v>8750</v>
      </c>
      <c r="P71" s="163">
        <f t="shared" si="15"/>
        <v>22620</v>
      </c>
      <c r="Q71" s="180">
        <f t="shared" si="16"/>
        <v>8571</v>
      </c>
      <c r="R71" s="187">
        <f t="shared" si="17"/>
        <v>21420</v>
      </c>
      <c r="S71" s="127"/>
      <c r="T71" s="129">
        <v>20</v>
      </c>
      <c r="U71" s="180">
        <f t="shared" si="18"/>
        <v>8750</v>
      </c>
      <c r="V71" s="163">
        <f t="shared" si="19"/>
        <v>22560</v>
      </c>
      <c r="W71" s="180">
        <f t="shared" si="20"/>
        <v>8654</v>
      </c>
      <c r="X71" s="187">
        <f t="shared" si="21"/>
        <v>21690</v>
      </c>
      <c r="Y71" s="127"/>
      <c r="Z71" s="128"/>
      <c r="AA71" s="92"/>
      <c r="AB71" s="92"/>
      <c r="AC71" s="93"/>
      <c r="AD71" s="92"/>
    </row>
    <row r="72" spans="2:30">
      <c r="B72" s="125">
        <v>21</v>
      </c>
      <c r="C72" s="159">
        <f t="shared" si="6"/>
        <v>9188</v>
      </c>
      <c r="D72" s="160">
        <f t="shared" si="7"/>
        <v>22185</v>
      </c>
      <c r="E72" s="159">
        <f t="shared" si="8"/>
        <v>9188</v>
      </c>
      <c r="F72" s="161">
        <f t="shared" si="9"/>
        <v>22185</v>
      </c>
      <c r="G72" s="128"/>
      <c r="H72" s="125">
        <v>21</v>
      </c>
      <c r="I72" s="159">
        <f t="shared" si="10"/>
        <v>9188</v>
      </c>
      <c r="J72" s="160">
        <f t="shared" si="11"/>
        <v>22353</v>
      </c>
      <c r="K72" s="171">
        <f t="shared" si="12"/>
        <v>8951</v>
      </c>
      <c r="L72" s="161">
        <f t="shared" si="13"/>
        <v>21207</v>
      </c>
      <c r="M72" s="127"/>
      <c r="N72" s="125">
        <v>21</v>
      </c>
      <c r="O72" s="159">
        <f t="shared" si="14"/>
        <v>9188</v>
      </c>
      <c r="P72" s="160">
        <f t="shared" si="15"/>
        <v>22311</v>
      </c>
      <c r="Q72" s="171">
        <f t="shared" si="16"/>
        <v>9000</v>
      </c>
      <c r="R72" s="173">
        <f t="shared" si="17"/>
        <v>21096</v>
      </c>
      <c r="S72" s="127"/>
      <c r="T72" s="125">
        <v>21</v>
      </c>
      <c r="U72" s="171">
        <f t="shared" si="18"/>
        <v>9188</v>
      </c>
      <c r="V72" s="160">
        <f t="shared" si="19"/>
        <v>22248</v>
      </c>
      <c r="W72" s="171">
        <f t="shared" si="20"/>
        <v>9087</v>
      </c>
      <c r="X72" s="173">
        <f t="shared" si="21"/>
        <v>21372</v>
      </c>
      <c r="Y72" s="127"/>
      <c r="Z72" s="128"/>
      <c r="AA72" s="92"/>
      <c r="AB72" s="92"/>
      <c r="AC72" s="93"/>
      <c r="AD72" s="92"/>
    </row>
    <row r="73" spans="2:30">
      <c r="B73" s="125">
        <v>22</v>
      </c>
      <c r="C73" s="159">
        <f t="shared" si="6"/>
        <v>9625</v>
      </c>
      <c r="D73" s="160">
        <f t="shared" si="7"/>
        <v>21870</v>
      </c>
      <c r="E73" s="159">
        <f t="shared" si="8"/>
        <v>9625</v>
      </c>
      <c r="F73" s="161">
        <f t="shared" si="9"/>
        <v>21870</v>
      </c>
      <c r="G73" s="128"/>
      <c r="H73" s="125">
        <v>22</v>
      </c>
      <c r="I73" s="159">
        <f t="shared" si="10"/>
        <v>9625</v>
      </c>
      <c r="J73" s="160">
        <f t="shared" si="11"/>
        <v>22046</v>
      </c>
      <c r="K73" s="171">
        <f t="shared" si="12"/>
        <v>9378</v>
      </c>
      <c r="L73" s="161">
        <f t="shared" si="13"/>
        <v>20874</v>
      </c>
      <c r="M73" s="127"/>
      <c r="N73" s="125">
        <v>22</v>
      </c>
      <c r="O73" s="159">
        <f t="shared" si="14"/>
        <v>9625</v>
      </c>
      <c r="P73" s="160">
        <f t="shared" si="15"/>
        <v>22002</v>
      </c>
      <c r="Q73" s="171">
        <f t="shared" si="16"/>
        <v>9429</v>
      </c>
      <c r="R73" s="173">
        <f t="shared" si="17"/>
        <v>20772</v>
      </c>
      <c r="S73" s="127"/>
      <c r="T73" s="125">
        <v>22</v>
      </c>
      <c r="U73" s="171">
        <f t="shared" si="18"/>
        <v>9625</v>
      </c>
      <c r="V73" s="160">
        <f t="shared" si="19"/>
        <v>21936</v>
      </c>
      <c r="W73" s="171">
        <f t="shared" si="20"/>
        <v>9519</v>
      </c>
      <c r="X73" s="173">
        <f t="shared" si="21"/>
        <v>21054</v>
      </c>
      <c r="Y73" s="127"/>
      <c r="Z73" s="128"/>
      <c r="AA73" s="92"/>
      <c r="AB73" s="92"/>
      <c r="AC73" s="93"/>
      <c r="AD73" s="92"/>
    </row>
    <row r="74" spans="2:30">
      <c r="B74" s="125">
        <v>23</v>
      </c>
      <c r="C74" s="159">
        <f t="shared" si="6"/>
        <v>10063</v>
      </c>
      <c r="D74" s="160">
        <f t="shared" si="7"/>
        <v>21555</v>
      </c>
      <c r="E74" s="159">
        <f t="shared" si="8"/>
        <v>10063</v>
      </c>
      <c r="F74" s="161">
        <f t="shared" si="9"/>
        <v>21555</v>
      </c>
      <c r="G74" s="128"/>
      <c r="H74" s="125">
        <v>23</v>
      </c>
      <c r="I74" s="159">
        <f t="shared" si="10"/>
        <v>10063</v>
      </c>
      <c r="J74" s="160">
        <f t="shared" si="11"/>
        <v>21739</v>
      </c>
      <c r="K74" s="171">
        <f t="shared" si="12"/>
        <v>9804</v>
      </c>
      <c r="L74" s="161">
        <f t="shared" si="13"/>
        <v>20541</v>
      </c>
      <c r="M74" s="127"/>
      <c r="N74" s="125">
        <v>23</v>
      </c>
      <c r="O74" s="159">
        <f t="shared" si="14"/>
        <v>10063</v>
      </c>
      <c r="P74" s="160">
        <f t="shared" si="15"/>
        <v>21693</v>
      </c>
      <c r="Q74" s="171">
        <f t="shared" si="16"/>
        <v>9857</v>
      </c>
      <c r="R74" s="173">
        <f t="shared" si="17"/>
        <v>20448</v>
      </c>
      <c r="S74" s="127"/>
      <c r="T74" s="125">
        <v>23</v>
      </c>
      <c r="U74" s="171">
        <f t="shared" si="18"/>
        <v>10063</v>
      </c>
      <c r="V74" s="160">
        <f t="shared" si="19"/>
        <v>21624</v>
      </c>
      <c r="W74" s="171">
        <f t="shared" si="20"/>
        <v>9952</v>
      </c>
      <c r="X74" s="173">
        <f t="shared" si="21"/>
        <v>20736</v>
      </c>
      <c r="Y74" s="127"/>
      <c r="Z74" s="128"/>
      <c r="AA74" s="92"/>
      <c r="AB74" s="92"/>
      <c r="AC74" s="93"/>
      <c r="AD74" s="92"/>
    </row>
    <row r="75" spans="2:30">
      <c r="B75" s="125">
        <v>24</v>
      </c>
      <c r="C75" s="159">
        <f t="shared" si="6"/>
        <v>10500</v>
      </c>
      <c r="D75" s="160">
        <f t="shared" si="7"/>
        <v>21240</v>
      </c>
      <c r="E75" s="159">
        <f t="shared" si="8"/>
        <v>10500</v>
      </c>
      <c r="F75" s="161">
        <f t="shared" si="9"/>
        <v>21240</v>
      </c>
      <c r="G75" s="128"/>
      <c r="H75" s="125">
        <v>24</v>
      </c>
      <c r="I75" s="159">
        <f t="shared" si="10"/>
        <v>10500</v>
      </c>
      <c r="J75" s="160">
        <f t="shared" si="11"/>
        <v>21432</v>
      </c>
      <c r="K75" s="171">
        <f t="shared" si="12"/>
        <v>10230</v>
      </c>
      <c r="L75" s="161">
        <f t="shared" si="13"/>
        <v>20208</v>
      </c>
      <c r="M75" s="127"/>
      <c r="N75" s="125">
        <v>24</v>
      </c>
      <c r="O75" s="159">
        <f t="shared" si="14"/>
        <v>10500</v>
      </c>
      <c r="P75" s="160">
        <f t="shared" si="15"/>
        <v>21384</v>
      </c>
      <c r="Q75" s="171">
        <f t="shared" si="16"/>
        <v>10286</v>
      </c>
      <c r="R75" s="173">
        <f t="shared" si="17"/>
        <v>20124</v>
      </c>
      <c r="S75" s="127"/>
      <c r="T75" s="125">
        <v>24</v>
      </c>
      <c r="U75" s="171">
        <f t="shared" si="18"/>
        <v>10500</v>
      </c>
      <c r="V75" s="160">
        <f t="shared" si="19"/>
        <v>21312</v>
      </c>
      <c r="W75" s="171">
        <f t="shared" si="20"/>
        <v>10385</v>
      </c>
      <c r="X75" s="173">
        <f t="shared" si="21"/>
        <v>20418</v>
      </c>
      <c r="Y75" s="127"/>
      <c r="Z75" s="128"/>
      <c r="AA75" s="92"/>
      <c r="AB75" s="92"/>
      <c r="AC75" s="93"/>
      <c r="AD75" s="92"/>
    </row>
    <row r="76" spans="2:30">
      <c r="B76" s="125">
        <v>25</v>
      </c>
      <c r="C76" s="159">
        <f t="shared" si="6"/>
        <v>10938</v>
      </c>
      <c r="D76" s="160">
        <f t="shared" si="7"/>
        <v>20925</v>
      </c>
      <c r="E76" s="159">
        <f t="shared" si="8"/>
        <v>10938</v>
      </c>
      <c r="F76" s="161">
        <f t="shared" si="9"/>
        <v>20925</v>
      </c>
      <c r="G76" s="128"/>
      <c r="H76" s="125">
        <v>25</v>
      </c>
      <c r="I76" s="159">
        <f t="shared" si="10"/>
        <v>10938</v>
      </c>
      <c r="J76" s="160">
        <f t="shared" si="11"/>
        <v>21125</v>
      </c>
      <c r="K76" s="171">
        <f t="shared" si="12"/>
        <v>10656</v>
      </c>
      <c r="L76" s="161">
        <f t="shared" si="13"/>
        <v>19875</v>
      </c>
      <c r="M76" s="127"/>
      <c r="N76" s="125">
        <v>25</v>
      </c>
      <c r="O76" s="159">
        <f t="shared" si="14"/>
        <v>10938</v>
      </c>
      <c r="P76" s="160">
        <f t="shared" si="15"/>
        <v>21075</v>
      </c>
      <c r="Q76" s="171">
        <f t="shared" si="16"/>
        <v>10714</v>
      </c>
      <c r="R76" s="173">
        <f t="shared" si="17"/>
        <v>19800</v>
      </c>
      <c r="S76" s="127"/>
      <c r="T76" s="125">
        <v>25</v>
      </c>
      <c r="U76" s="171">
        <f t="shared" si="18"/>
        <v>10938</v>
      </c>
      <c r="V76" s="160">
        <f t="shared" si="19"/>
        <v>21000</v>
      </c>
      <c r="W76" s="171">
        <f t="shared" si="20"/>
        <v>10817</v>
      </c>
      <c r="X76" s="173">
        <f t="shared" si="21"/>
        <v>20100</v>
      </c>
      <c r="Y76" s="127"/>
      <c r="Z76" s="128"/>
      <c r="AA76" s="92"/>
      <c r="AB76" s="92"/>
      <c r="AC76" s="93"/>
      <c r="AD76" s="92"/>
    </row>
    <row r="77" spans="2:30">
      <c r="B77" s="125">
        <v>26</v>
      </c>
      <c r="C77" s="159">
        <f t="shared" si="6"/>
        <v>11375</v>
      </c>
      <c r="D77" s="160">
        <f t="shared" si="7"/>
        <v>20610</v>
      </c>
      <c r="E77" s="159">
        <f t="shared" si="8"/>
        <v>11375</v>
      </c>
      <c r="F77" s="161">
        <f t="shared" si="9"/>
        <v>20610</v>
      </c>
      <c r="G77" s="128"/>
      <c r="H77" s="125">
        <v>26</v>
      </c>
      <c r="I77" s="159">
        <f t="shared" si="10"/>
        <v>11375</v>
      </c>
      <c r="J77" s="160">
        <f t="shared" si="11"/>
        <v>20818</v>
      </c>
      <c r="K77" s="171">
        <f t="shared" si="12"/>
        <v>11083</v>
      </c>
      <c r="L77" s="161">
        <f t="shared" si="13"/>
        <v>19542</v>
      </c>
      <c r="M77" s="127"/>
      <c r="N77" s="125">
        <v>26</v>
      </c>
      <c r="O77" s="159">
        <f t="shared" si="14"/>
        <v>11375</v>
      </c>
      <c r="P77" s="160">
        <f t="shared" si="15"/>
        <v>20766</v>
      </c>
      <c r="Q77" s="171">
        <f t="shared" si="16"/>
        <v>11143</v>
      </c>
      <c r="R77" s="173">
        <f t="shared" si="17"/>
        <v>19476</v>
      </c>
      <c r="S77" s="127"/>
      <c r="T77" s="125">
        <v>26</v>
      </c>
      <c r="U77" s="171">
        <f t="shared" si="18"/>
        <v>11375</v>
      </c>
      <c r="V77" s="160">
        <f t="shared" si="19"/>
        <v>20688</v>
      </c>
      <c r="W77" s="171">
        <f t="shared" si="20"/>
        <v>11250</v>
      </c>
      <c r="X77" s="173">
        <f t="shared" si="21"/>
        <v>19782</v>
      </c>
      <c r="Y77" s="127"/>
      <c r="Z77" s="128"/>
      <c r="AA77" s="92"/>
      <c r="AB77" s="92"/>
      <c r="AC77" s="93"/>
      <c r="AD77" s="92"/>
    </row>
    <row r="78" spans="2:30">
      <c r="B78" s="125">
        <v>27</v>
      </c>
      <c r="C78" s="159">
        <f t="shared" si="6"/>
        <v>11813</v>
      </c>
      <c r="D78" s="160">
        <f t="shared" si="7"/>
        <v>20295</v>
      </c>
      <c r="E78" s="159">
        <f t="shared" si="8"/>
        <v>11813</v>
      </c>
      <c r="F78" s="161">
        <f t="shared" si="9"/>
        <v>20295</v>
      </c>
      <c r="G78" s="128"/>
      <c r="H78" s="125">
        <v>27</v>
      </c>
      <c r="I78" s="159">
        <f t="shared" si="10"/>
        <v>11813</v>
      </c>
      <c r="J78" s="160">
        <f t="shared" si="11"/>
        <v>20511</v>
      </c>
      <c r="K78" s="171">
        <f t="shared" si="12"/>
        <v>11509</v>
      </c>
      <c r="L78" s="161">
        <f t="shared" si="13"/>
        <v>19209</v>
      </c>
      <c r="M78" s="127"/>
      <c r="N78" s="125">
        <v>27</v>
      </c>
      <c r="O78" s="159">
        <f t="shared" si="14"/>
        <v>11813</v>
      </c>
      <c r="P78" s="160">
        <f t="shared" si="15"/>
        <v>20457</v>
      </c>
      <c r="Q78" s="171">
        <f t="shared" si="16"/>
        <v>11571</v>
      </c>
      <c r="R78" s="173">
        <f t="shared" si="17"/>
        <v>19152</v>
      </c>
      <c r="S78" s="127"/>
      <c r="T78" s="125">
        <v>27</v>
      </c>
      <c r="U78" s="171">
        <f t="shared" si="18"/>
        <v>11813</v>
      </c>
      <c r="V78" s="160">
        <f t="shared" si="19"/>
        <v>20376</v>
      </c>
      <c r="W78" s="171">
        <f t="shared" si="20"/>
        <v>11683</v>
      </c>
      <c r="X78" s="173">
        <f t="shared" si="21"/>
        <v>19464</v>
      </c>
      <c r="Y78" s="127"/>
      <c r="Z78" s="128"/>
      <c r="AA78" s="92"/>
      <c r="AB78" s="92"/>
      <c r="AC78" s="93"/>
      <c r="AD78" s="92"/>
    </row>
    <row r="79" spans="2:30">
      <c r="B79" s="125">
        <v>28</v>
      </c>
      <c r="C79" s="159">
        <f t="shared" si="6"/>
        <v>12250</v>
      </c>
      <c r="D79" s="160">
        <f t="shared" si="7"/>
        <v>19980</v>
      </c>
      <c r="E79" s="159">
        <f t="shared" si="8"/>
        <v>12250</v>
      </c>
      <c r="F79" s="161">
        <f t="shared" si="9"/>
        <v>19980</v>
      </c>
      <c r="G79" s="128"/>
      <c r="H79" s="125">
        <v>28</v>
      </c>
      <c r="I79" s="159">
        <f t="shared" si="10"/>
        <v>12250</v>
      </c>
      <c r="J79" s="160">
        <f t="shared" si="11"/>
        <v>20204</v>
      </c>
      <c r="K79" s="171">
        <f t="shared" si="12"/>
        <v>11935</v>
      </c>
      <c r="L79" s="161">
        <f t="shared" si="13"/>
        <v>18876</v>
      </c>
      <c r="M79" s="127"/>
      <c r="N79" s="125">
        <v>28</v>
      </c>
      <c r="O79" s="159">
        <f t="shared" si="14"/>
        <v>12250</v>
      </c>
      <c r="P79" s="160">
        <f t="shared" si="15"/>
        <v>20148</v>
      </c>
      <c r="Q79" s="171">
        <f t="shared" si="16"/>
        <v>12000</v>
      </c>
      <c r="R79" s="173">
        <f t="shared" si="17"/>
        <v>18828</v>
      </c>
      <c r="S79" s="127"/>
      <c r="T79" s="125">
        <v>28</v>
      </c>
      <c r="U79" s="171">
        <f t="shared" si="18"/>
        <v>12250</v>
      </c>
      <c r="V79" s="160">
        <f t="shared" si="19"/>
        <v>20064</v>
      </c>
      <c r="W79" s="171">
        <f t="shared" si="20"/>
        <v>12115</v>
      </c>
      <c r="X79" s="173">
        <f t="shared" si="21"/>
        <v>19146</v>
      </c>
      <c r="Y79" s="127"/>
      <c r="Z79" s="128"/>
      <c r="AA79" s="92"/>
      <c r="AB79" s="92"/>
      <c r="AC79" s="93"/>
      <c r="AD79" s="92"/>
    </row>
    <row r="80" spans="2:30">
      <c r="B80" s="125">
        <v>29</v>
      </c>
      <c r="C80" s="159">
        <f t="shared" si="6"/>
        <v>12688</v>
      </c>
      <c r="D80" s="160">
        <f t="shared" si="7"/>
        <v>19665</v>
      </c>
      <c r="E80" s="159">
        <f t="shared" si="8"/>
        <v>12688</v>
      </c>
      <c r="F80" s="161">
        <f t="shared" si="9"/>
        <v>19665</v>
      </c>
      <c r="G80" s="128"/>
      <c r="H80" s="125">
        <v>29</v>
      </c>
      <c r="I80" s="159">
        <f t="shared" si="10"/>
        <v>12688</v>
      </c>
      <c r="J80" s="160">
        <f t="shared" si="11"/>
        <v>19897</v>
      </c>
      <c r="K80" s="171">
        <f t="shared" si="12"/>
        <v>12361</v>
      </c>
      <c r="L80" s="161">
        <f t="shared" si="13"/>
        <v>18543</v>
      </c>
      <c r="M80" s="127"/>
      <c r="N80" s="125">
        <v>29</v>
      </c>
      <c r="O80" s="159">
        <f t="shared" si="14"/>
        <v>12688</v>
      </c>
      <c r="P80" s="160">
        <f t="shared" si="15"/>
        <v>19839</v>
      </c>
      <c r="Q80" s="171">
        <f t="shared" si="16"/>
        <v>12429</v>
      </c>
      <c r="R80" s="173">
        <f t="shared" si="17"/>
        <v>18504</v>
      </c>
      <c r="S80" s="127"/>
      <c r="T80" s="125">
        <v>29</v>
      </c>
      <c r="U80" s="171">
        <f t="shared" si="18"/>
        <v>12688</v>
      </c>
      <c r="V80" s="160">
        <f t="shared" si="19"/>
        <v>19752</v>
      </c>
      <c r="W80" s="171">
        <f t="shared" si="20"/>
        <v>12548</v>
      </c>
      <c r="X80" s="173">
        <f t="shared" si="21"/>
        <v>18828</v>
      </c>
      <c r="Y80" s="127"/>
      <c r="Z80" s="128"/>
      <c r="AA80" s="92"/>
      <c r="AB80" s="92"/>
      <c r="AC80" s="93"/>
      <c r="AD80" s="92"/>
    </row>
    <row r="81" spans="2:30">
      <c r="B81" s="129">
        <v>30</v>
      </c>
      <c r="C81" s="162">
        <f t="shared" si="6"/>
        <v>13125</v>
      </c>
      <c r="D81" s="163">
        <f t="shared" si="7"/>
        <v>19350</v>
      </c>
      <c r="E81" s="162">
        <f t="shared" si="8"/>
        <v>13125</v>
      </c>
      <c r="F81" s="164">
        <f t="shared" si="9"/>
        <v>19350</v>
      </c>
      <c r="G81" s="128"/>
      <c r="H81" s="129">
        <v>30</v>
      </c>
      <c r="I81" s="162">
        <f t="shared" si="10"/>
        <v>13125</v>
      </c>
      <c r="J81" s="163">
        <f t="shared" si="11"/>
        <v>19590</v>
      </c>
      <c r="K81" s="180">
        <f t="shared" si="12"/>
        <v>12788</v>
      </c>
      <c r="L81" s="164">
        <f t="shared" si="13"/>
        <v>18210</v>
      </c>
      <c r="M81" s="127"/>
      <c r="N81" s="129">
        <v>30</v>
      </c>
      <c r="O81" s="162">
        <f t="shared" si="14"/>
        <v>13125</v>
      </c>
      <c r="P81" s="163">
        <f t="shared" si="15"/>
        <v>19530</v>
      </c>
      <c r="Q81" s="180">
        <f t="shared" si="16"/>
        <v>12857</v>
      </c>
      <c r="R81" s="187">
        <f t="shared" si="17"/>
        <v>18180</v>
      </c>
      <c r="S81" s="127"/>
      <c r="T81" s="129">
        <v>30</v>
      </c>
      <c r="U81" s="180">
        <f t="shared" si="18"/>
        <v>13125</v>
      </c>
      <c r="V81" s="163">
        <f t="shared" si="19"/>
        <v>19440</v>
      </c>
      <c r="W81" s="180">
        <f t="shared" si="20"/>
        <v>12981</v>
      </c>
      <c r="X81" s="187">
        <f t="shared" si="21"/>
        <v>18510</v>
      </c>
      <c r="Y81" s="127"/>
      <c r="Z81" s="128"/>
      <c r="AA81" s="92"/>
      <c r="AB81" s="92"/>
      <c r="AC81" s="93"/>
      <c r="AD81" s="92"/>
    </row>
    <row r="82" spans="2:30">
      <c r="B82" s="125">
        <v>31</v>
      </c>
      <c r="C82" s="159">
        <f t="shared" si="6"/>
        <v>13563</v>
      </c>
      <c r="D82" s="160">
        <f t="shared" si="7"/>
        <v>19035</v>
      </c>
      <c r="E82" s="159">
        <f t="shared" si="8"/>
        <v>13563</v>
      </c>
      <c r="F82" s="161">
        <f t="shared" si="9"/>
        <v>19035</v>
      </c>
      <c r="G82" s="128"/>
      <c r="H82" s="125">
        <v>31</v>
      </c>
      <c r="I82" s="159">
        <f t="shared" si="10"/>
        <v>13563</v>
      </c>
      <c r="J82" s="160">
        <f t="shared" si="11"/>
        <v>19283</v>
      </c>
      <c r="K82" s="171">
        <f t="shared" si="12"/>
        <v>13214</v>
      </c>
      <c r="L82" s="161">
        <f t="shared" si="13"/>
        <v>17877</v>
      </c>
      <c r="M82" s="127"/>
      <c r="N82" s="125">
        <v>31</v>
      </c>
      <c r="O82" s="159">
        <f t="shared" si="14"/>
        <v>13563</v>
      </c>
      <c r="P82" s="160">
        <f t="shared" si="15"/>
        <v>19221</v>
      </c>
      <c r="Q82" s="171">
        <f t="shared" si="16"/>
        <v>13286</v>
      </c>
      <c r="R82" s="173">
        <f t="shared" si="17"/>
        <v>17856</v>
      </c>
      <c r="S82" s="127"/>
      <c r="T82" s="125">
        <v>31</v>
      </c>
      <c r="U82" s="171">
        <f t="shared" si="18"/>
        <v>13563</v>
      </c>
      <c r="V82" s="160">
        <f t="shared" si="19"/>
        <v>19128</v>
      </c>
      <c r="W82" s="171">
        <f t="shared" si="20"/>
        <v>13413</v>
      </c>
      <c r="X82" s="173">
        <f t="shared" si="21"/>
        <v>18192</v>
      </c>
      <c r="Y82" s="127"/>
      <c r="Z82" s="128"/>
      <c r="AA82" s="92"/>
      <c r="AB82" s="92"/>
      <c r="AC82" s="93"/>
      <c r="AD82" s="92"/>
    </row>
    <row r="83" spans="2:30">
      <c r="B83" s="125">
        <v>32</v>
      </c>
      <c r="C83" s="159">
        <f t="shared" si="6"/>
        <v>14000</v>
      </c>
      <c r="D83" s="160">
        <f t="shared" si="7"/>
        <v>18720</v>
      </c>
      <c r="E83" s="159">
        <f t="shared" si="8"/>
        <v>14000</v>
      </c>
      <c r="F83" s="161">
        <f t="shared" si="9"/>
        <v>18720</v>
      </c>
      <c r="G83" s="128"/>
      <c r="H83" s="125">
        <v>32</v>
      </c>
      <c r="I83" s="159">
        <f t="shared" si="10"/>
        <v>14000</v>
      </c>
      <c r="J83" s="160">
        <f t="shared" si="11"/>
        <v>18976</v>
      </c>
      <c r="K83" s="171">
        <f t="shared" si="12"/>
        <v>13640</v>
      </c>
      <c r="L83" s="161">
        <f t="shared" si="13"/>
        <v>17544</v>
      </c>
      <c r="M83" s="127"/>
      <c r="N83" s="125">
        <v>32</v>
      </c>
      <c r="O83" s="159">
        <f t="shared" si="14"/>
        <v>14000</v>
      </c>
      <c r="P83" s="160">
        <f t="shared" si="15"/>
        <v>18912</v>
      </c>
      <c r="Q83" s="171">
        <f t="shared" si="16"/>
        <v>13714</v>
      </c>
      <c r="R83" s="173">
        <f t="shared" si="17"/>
        <v>17532</v>
      </c>
      <c r="S83" s="127"/>
      <c r="T83" s="125">
        <v>32</v>
      </c>
      <c r="U83" s="171">
        <f t="shared" si="18"/>
        <v>14000</v>
      </c>
      <c r="V83" s="160">
        <f t="shared" si="19"/>
        <v>18816</v>
      </c>
      <c r="W83" s="171">
        <f t="shared" si="20"/>
        <v>13846</v>
      </c>
      <c r="X83" s="173">
        <f t="shared" si="21"/>
        <v>17874</v>
      </c>
      <c r="Y83" s="127"/>
      <c r="Z83" s="128"/>
      <c r="AA83" s="92"/>
      <c r="AB83" s="92"/>
      <c r="AC83" s="93"/>
      <c r="AD83" s="92"/>
    </row>
    <row r="84" spans="2:30">
      <c r="B84" s="125">
        <v>33</v>
      </c>
      <c r="C84" s="159">
        <f t="shared" si="6"/>
        <v>14438</v>
      </c>
      <c r="D84" s="160">
        <f t="shared" si="7"/>
        <v>18405</v>
      </c>
      <c r="E84" s="159">
        <f t="shared" si="8"/>
        <v>14438</v>
      </c>
      <c r="F84" s="161">
        <f t="shared" si="9"/>
        <v>18405</v>
      </c>
      <c r="G84" s="128"/>
      <c r="H84" s="125">
        <v>33</v>
      </c>
      <c r="I84" s="159">
        <f t="shared" si="10"/>
        <v>14438</v>
      </c>
      <c r="J84" s="160">
        <f t="shared" si="11"/>
        <v>18669</v>
      </c>
      <c r="K84" s="171">
        <f t="shared" si="12"/>
        <v>14066</v>
      </c>
      <c r="L84" s="161">
        <f t="shared" si="13"/>
        <v>17211</v>
      </c>
      <c r="M84" s="127"/>
      <c r="N84" s="125">
        <v>33</v>
      </c>
      <c r="O84" s="159">
        <f t="shared" si="14"/>
        <v>14438</v>
      </c>
      <c r="P84" s="160">
        <f t="shared" si="15"/>
        <v>18603</v>
      </c>
      <c r="Q84" s="171">
        <f t="shared" si="16"/>
        <v>14143</v>
      </c>
      <c r="R84" s="173">
        <f t="shared" si="17"/>
        <v>17208</v>
      </c>
      <c r="S84" s="127"/>
      <c r="T84" s="125">
        <v>33</v>
      </c>
      <c r="U84" s="171">
        <f t="shared" si="18"/>
        <v>14438</v>
      </c>
      <c r="V84" s="160">
        <f t="shared" si="19"/>
        <v>18504</v>
      </c>
      <c r="W84" s="171">
        <f t="shared" si="20"/>
        <v>14279</v>
      </c>
      <c r="X84" s="173">
        <f t="shared" si="21"/>
        <v>17556</v>
      </c>
      <c r="Y84" s="127"/>
      <c r="Z84" s="128"/>
      <c r="AA84" s="92"/>
      <c r="AB84" s="92"/>
      <c r="AC84" s="93"/>
      <c r="AD84" s="92"/>
    </row>
    <row r="85" spans="2:30">
      <c r="B85" s="125">
        <v>34</v>
      </c>
      <c r="C85" s="159">
        <f t="shared" si="6"/>
        <v>14875</v>
      </c>
      <c r="D85" s="160">
        <f t="shared" ref="D85:D116" si="22">ROUND(D84-($E$52-($E$52*$B$29%)),0)</f>
        <v>18090</v>
      </c>
      <c r="E85" s="159">
        <f t="shared" si="8"/>
        <v>14875</v>
      </c>
      <c r="F85" s="161">
        <f t="shared" ref="F85:F116" si="23">ROUND(F84-($C$52-($C$52*$B$29%)),0)</f>
        <v>18090</v>
      </c>
      <c r="G85" s="128"/>
      <c r="H85" s="125">
        <v>34</v>
      </c>
      <c r="I85" s="159">
        <f t="shared" si="10"/>
        <v>14875</v>
      </c>
      <c r="J85" s="160">
        <f t="shared" ref="J85:J116" si="24">ROUND(J84-($K$52-($K$52*$B$29%)),0)</f>
        <v>18362</v>
      </c>
      <c r="K85" s="171">
        <f t="shared" si="12"/>
        <v>14493</v>
      </c>
      <c r="L85" s="161">
        <f t="shared" ref="L85:L116" si="25">ROUND(L84-($I$52-($I$52*$C$29%)),0)</f>
        <v>16878</v>
      </c>
      <c r="M85" s="127"/>
      <c r="N85" s="125">
        <v>34</v>
      </c>
      <c r="O85" s="159">
        <f t="shared" si="14"/>
        <v>14875</v>
      </c>
      <c r="P85" s="160">
        <f t="shared" ref="P85:P116" si="26">ROUND(P84-($Q$52-($Q$52*$B$29%)),0)</f>
        <v>18294</v>
      </c>
      <c r="Q85" s="171">
        <f t="shared" si="16"/>
        <v>14571</v>
      </c>
      <c r="R85" s="173">
        <f t="shared" ref="R85:R116" si="27">ROUND(R84-($O$52-($O$52*$D$29%)),0)</f>
        <v>16884</v>
      </c>
      <c r="S85" s="127"/>
      <c r="T85" s="125">
        <v>34</v>
      </c>
      <c r="U85" s="171">
        <f t="shared" si="18"/>
        <v>14875</v>
      </c>
      <c r="V85" s="160">
        <f t="shared" ref="V85:V116" si="28">ROUND(V84-($W$52-($W$52*$B$29%)),0)</f>
        <v>18192</v>
      </c>
      <c r="W85" s="171">
        <f t="shared" si="20"/>
        <v>14712</v>
      </c>
      <c r="X85" s="173">
        <f t="shared" ref="X85:X116" si="29">ROUND(X84-($U$52-($U$52*$E$29%)),0)</f>
        <v>17238</v>
      </c>
      <c r="Y85" s="127"/>
      <c r="Z85" s="128"/>
      <c r="AA85" s="92"/>
      <c r="AB85" s="92"/>
      <c r="AC85" s="93"/>
      <c r="AD85" s="92"/>
    </row>
    <row r="86" spans="2:30">
      <c r="B86" s="125">
        <v>35</v>
      </c>
      <c r="C86" s="159">
        <f t="shared" si="6"/>
        <v>15313</v>
      </c>
      <c r="D86" s="160">
        <f t="shared" si="22"/>
        <v>17775</v>
      </c>
      <c r="E86" s="159">
        <f t="shared" si="8"/>
        <v>15313</v>
      </c>
      <c r="F86" s="161">
        <f t="shared" si="23"/>
        <v>17775</v>
      </c>
      <c r="G86" s="128"/>
      <c r="H86" s="125">
        <v>35</v>
      </c>
      <c r="I86" s="159">
        <f t="shared" si="10"/>
        <v>15313</v>
      </c>
      <c r="J86" s="160">
        <f t="shared" si="24"/>
        <v>18055</v>
      </c>
      <c r="K86" s="171">
        <f t="shared" si="12"/>
        <v>14919</v>
      </c>
      <c r="L86" s="161">
        <f t="shared" si="25"/>
        <v>16545</v>
      </c>
      <c r="M86" s="127"/>
      <c r="N86" s="125">
        <v>35</v>
      </c>
      <c r="O86" s="159">
        <f t="shared" si="14"/>
        <v>15313</v>
      </c>
      <c r="P86" s="160">
        <f t="shared" si="26"/>
        <v>17985</v>
      </c>
      <c r="Q86" s="171">
        <f t="shared" si="16"/>
        <v>15000</v>
      </c>
      <c r="R86" s="173">
        <f t="shared" si="27"/>
        <v>16560</v>
      </c>
      <c r="S86" s="127"/>
      <c r="T86" s="125">
        <v>35</v>
      </c>
      <c r="U86" s="171">
        <f t="shared" si="18"/>
        <v>15313</v>
      </c>
      <c r="V86" s="160">
        <f t="shared" si="28"/>
        <v>17880</v>
      </c>
      <c r="W86" s="171">
        <f t="shared" si="20"/>
        <v>15144</v>
      </c>
      <c r="X86" s="173">
        <f t="shared" si="29"/>
        <v>16920</v>
      </c>
      <c r="Y86" s="127"/>
      <c r="Z86" s="128"/>
      <c r="AA86" s="92"/>
      <c r="AB86" s="92"/>
      <c r="AC86" s="93"/>
      <c r="AD86" s="92"/>
    </row>
    <row r="87" spans="2:30">
      <c r="B87" s="125">
        <v>36</v>
      </c>
      <c r="C87" s="159">
        <f t="shared" si="6"/>
        <v>15750</v>
      </c>
      <c r="D87" s="160">
        <f t="shared" si="22"/>
        <v>17460</v>
      </c>
      <c r="E87" s="159">
        <f t="shared" si="8"/>
        <v>15750</v>
      </c>
      <c r="F87" s="161">
        <f t="shared" si="23"/>
        <v>17460</v>
      </c>
      <c r="G87" s="128"/>
      <c r="H87" s="125">
        <v>36</v>
      </c>
      <c r="I87" s="159">
        <f t="shared" si="10"/>
        <v>15750</v>
      </c>
      <c r="J87" s="160">
        <f t="shared" si="24"/>
        <v>17748</v>
      </c>
      <c r="K87" s="171">
        <f t="shared" si="12"/>
        <v>15345</v>
      </c>
      <c r="L87" s="161">
        <f t="shared" si="25"/>
        <v>16212</v>
      </c>
      <c r="M87" s="127"/>
      <c r="N87" s="125">
        <v>36</v>
      </c>
      <c r="O87" s="159">
        <f t="shared" si="14"/>
        <v>15750</v>
      </c>
      <c r="P87" s="160">
        <f t="shared" si="26"/>
        <v>17676</v>
      </c>
      <c r="Q87" s="171">
        <f t="shared" si="16"/>
        <v>15429</v>
      </c>
      <c r="R87" s="173">
        <f t="shared" si="27"/>
        <v>16236</v>
      </c>
      <c r="S87" s="127"/>
      <c r="T87" s="125">
        <v>36</v>
      </c>
      <c r="U87" s="171">
        <f t="shared" si="18"/>
        <v>15750</v>
      </c>
      <c r="V87" s="160">
        <f t="shared" si="28"/>
        <v>17568</v>
      </c>
      <c r="W87" s="171">
        <f t="shared" si="20"/>
        <v>15577</v>
      </c>
      <c r="X87" s="173">
        <f t="shared" si="29"/>
        <v>16602</v>
      </c>
      <c r="Y87" s="127"/>
      <c r="Z87" s="128"/>
      <c r="AA87" s="92"/>
      <c r="AB87" s="92"/>
      <c r="AC87" s="93"/>
      <c r="AD87" s="92"/>
    </row>
    <row r="88" spans="2:30">
      <c r="B88" s="125">
        <v>37</v>
      </c>
      <c r="C88" s="159">
        <f t="shared" si="6"/>
        <v>16188</v>
      </c>
      <c r="D88" s="160">
        <f t="shared" si="22"/>
        <v>17145</v>
      </c>
      <c r="E88" s="159">
        <f t="shared" si="8"/>
        <v>16188</v>
      </c>
      <c r="F88" s="161">
        <f t="shared" si="23"/>
        <v>17145</v>
      </c>
      <c r="G88" s="128"/>
      <c r="H88" s="125">
        <v>37</v>
      </c>
      <c r="I88" s="159">
        <f t="shared" si="10"/>
        <v>16188</v>
      </c>
      <c r="J88" s="160">
        <f t="shared" si="24"/>
        <v>17441</v>
      </c>
      <c r="K88" s="171">
        <f t="shared" si="12"/>
        <v>15771</v>
      </c>
      <c r="L88" s="161">
        <f t="shared" si="25"/>
        <v>15879</v>
      </c>
      <c r="M88" s="127"/>
      <c r="N88" s="125">
        <v>37</v>
      </c>
      <c r="O88" s="159">
        <f t="shared" si="14"/>
        <v>16188</v>
      </c>
      <c r="P88" s="160">
        <f t="shared" si="26"/>
        <v>17367</v>
      </c>
      <c r="Q88" s="171">
        <f t="shared" si="16"/>
        <v>15857</v>
      </c>
      <c r="R88" s="173">
        <f t="shared" si="27"/>
        <v>15912</v>
      </c>
      <c r="S88" s="127"/>
      <c r="T88" s="125">
        <v>37</v>
      </c>
      <c r="U88" s="171">
        <f t="shared" si="18"/>
        <v>16188</v>
      </c>
      <c r="V88" s="160">
        <f t="shared" si="28"/>
        <v>17256</v>
      </c>
      <c r="W88" s="171">
        <f t="shared" si="20"/>
        <v>16010</v>
      </c>
      <c r="X88" s="173">
        <f t="shared" si="29"/>
        <v>16284</v>
      </c>
      <c r="Y88" s="127"/>
      <c r="Z88" s="128"/>
      <c r="AA88" s="92"/>
      <c r="AB88" s="92"/>
      <c r="AC88" s="93"/>
      <c r="AD88" s="92"/>
    </row>
    <row r="89" spans="2:30">
      <c r="B89" s="125">
        <v>38</v>
      </c>
      <c r="C89" s="159">
        <f t="shared" si="6"/>
        <v>16625</v>
      </c>
      <c r="D89" s="160">
        <f t="shared" si="22"/>
        <v>16830</v>
      </c>
      <c r="E89" s="159">
        <f t="shared" si="8"/>
        <v>16625</v>
      </c>
      <c r="F89" s="161">
        <f t="shared" si="23"/>
        <v>16830</v>
      </c>
      <c r="G89" s="128"/>
      <c r="H89" s="125">
        <v>38</v>
      </c>
      <c r="I89" s="159">
        <f t="shared" si="10"/>
        <v>16625</v>
      </c>
      <c r="J89" s="160">
        <f t="shared" si="24"/>
        <v>17134</v>
      </c>
      <c r="K89" s="171">
        <f t="shared" si="12"/>
        <v>16198</v>
      </c>
      <c r="L89" s="161">
        <f t="shared" si="25"/>
        <v>15546</v>
      </c>
      <c r="M89" s="127"/>
      <c r="N89" s="125">
        <v>38</v>
      </c>
      <c r="O89" s="159">
        <f t="shared" si="14"/>
        <v>16625</v>
      </c>
      <c r="P89" s="160">
        <f t="shared" si="26"/>
        <v>17058</v>
      </c>
      <c r="Q89" s="171">
        <f t="shared" si="16"/>
        <v>16286</v>
      </c>
      <c r="R89" s="173">
        <f t="shared" si="27"/>
        <v>15588</v>
      </c>
      <c r="S89" s="127"/>
      <c r="T89" s="125">
        <v>38</v>
      </c>
      <c r="U89" s="171">
        <f t="shared" si="18"/>
        <v>16625</v>
      </c>
      <c r="V89" s="160">
        <f t="shared" si="28"/>
        <v>16944</v>
      </c>
      <c r="W89" s="171">
        <f t="shared" si="20"/>
        <v>16442</v>
      </c>
      <c r="X89" s="173">
        <f t="shared" si="29"/>
        <v>15966</v>
      </c>
      <c r="Y89" s="127"/>
      <c r="Z89" s="128"/>
      <c r="AA89" s="92"/>
      <c r="AB89" s="92"/>
      <c r="AC89" s="93"/>
      <c r="AD89" s="92"/>
    </row>
    <row r="90" spans="2:30">
      <c r="B90" s="125">
        <v>39</v>
      </c>
      <c r="C90" s="159">
        <f t="shared" si="6"/>
        <v>17063</v>
      </c>
      <c r="D90" s="160">
        <f t="shared" si="22"/>
        <v>16515</v>
      </c>
      <c r="E90" s="159">
        <f t="shared" si="8"/>
        <v>17063</v>
      </c>
      <c r="F90" s="161">
        <f t="shared" si="23"/>
        <v>16515</v>
      </c>
      <c r="G90" s="128"/>
      <c r="H90" s="125">
        <v>39</v>
      </c>
      <c r="I90" s="159">
        <f t="shared" si="10"/>
        <v>17063</v>
      </c>
      <c r="J90" s="160">
        <f t="shared" si="24"/>
        <v>16827</v>
      </c>
      <c r="K90" s="171">
        <f t="shared" si="12"/>
        <v>16624</v>
      </c>
      <c r="L90" s="161">
        <f t="shared" si="25"/>
        <v>15213</v>
      </c>
      <c r="M90" s="127"/>
      <c r="N90" s="125">
        <v>39</v>
      </c>
      <c r="O90" s="159">
        <f t="shared" si="14"/>
        <v>17063</v>
      </c>
      <c r="P90" s="160">
        <f t="shared" si="26"/>
        <v>16749</v>
      </c>
      <c r="Q90" s="171">
        <f t="shared" si="16"/>
        <v>16714</v>
      </c>
      <c r="R90" s="173">
        <f t="shared" si="27"/>
        <v>15264</v>
      </c>
      <c r="S90" s="127"/>
      <c r="T90" s="125">
        <v>39</v>
      </c>
      <c r="U90" s="171">
        <f t="shared" si="18"/>
        <v>17063</v>
      </c>
      <c r="V90" s="160">
        <f t="shared" si="28"/>
        <v>16632</v>
      </c>
      <c r="W90" s="171">
        <f t="shared" si="20"/>
        <v>16875</v>
      </c>
      <c r="X90" s="173">
        <f t="shared" si="29"/>
        <v>15648</v>
      </c>
      <c r="Y90" s="127"/>
      <c r="Z90" s="128"/>
      <c r="AA90" s="92"/>
      <c r="AB90" s="92"/>
      <c r="AC90" s="93"/>
      <c r="AD90" s="92"/>
    </row>
    <row r="91" spans="2:30">
      <c r="B91" s="129">
        <v>40</v>
      </c>
      <c r="C91" s="162">
        <f t="shared" si="6"/>
        <v>17500</v>
      </c>
      <c r="D91" s="163">
        <f t="shared" si="22"/>
        <v>16200</v>
      </c>
      <c r="E91" s="162">
        <f t="shared" si="8"/>
        <v>17500</v>
      </c>
      <c r="F91" s="164">
        <f t="shared" si="23"/>
        <v>16200</v>
      </c>
      <c r="G91" s="128"/>
      <c r="H91" s="129">
        <v>40</v>
      </c>
      <c r="I91" s="162">
        <f t="shared" si="10"/>
        <v>17500</v>
      </c>
      <c r="J91" s="163">
        <f t="shared" si="24"/>
        <v>16520</v>
      </c>
      <c r="K91" s="180">
        <f t="shared" si="12"/>
        <v>17050</v>
      </c>
      <c r="L91" s="164">
        <f t="shared" si="25"/>
        <v>14880</v>
      </c>
      <c r="M91" s="127"/>
      <c r="N91" s="129">
        <v>40</v>
      </c>
      <c r="O91" s="162">
        <f t="shared" si="14"/>
        <v>17500</v>
      </c>
      <c r="P91" s="163">
        <f t="shared" si="26"/>
        <v>16440</v>
      </c>
      <c r="Q91" s="180">
        <f t="shared" si="16"/>
        <v>17143</v>
      </c>
      <c r="R91" s="187">
        <f t="shared" si="27"/>
        <v>14940</v>
      </c>
      <c r="S91" s="127"/>
      <c r="T91" s="129">
        <v>40</v>
      </c>
      <c r="U91" s="180">
        <f t="shared" si="18"/>
        <v>17500</v>
      </c>
      <c r="V91" s="163">
        <f t="shared" si="28"/>
        <v>16320</v>
      </c>
      <c r="W91" s="180">
        <f t="shared" si="20"/>
        <v>17308</v>
      </c>
      <c r="X91" s="187">
        <f t="shared" si="29"/>
        <v>15330</v>
      </c>
      <c r="Y91" s="127"/>
      <c r="Z91" s="128"/>
      <c r="AA91" s="92"/>
      <c r="AB91" s="92"/>
      <c r="AC91" s="93"/>
      <c r="AD91" s="92"/>
    </row>
    <row r="92" spans="2:30">
      <c r="B92" s="125">
        <v>41</v>
      </c>
      <c r="C92" s="159">
        <f t="shared" si="6"/>
        <v>17938</v>
      </c>
      <c r="D92" s="160">
        <f t="shared" si="22"/>
        <v>15885</v>
      </c>
      <c r="E92" s="159">
        <f t="shared" si="8"/>
        <v>17938</v>
      </c>
      <c r="F92" s="161">
        <f t="shared" si="23"/>
        <v>15885</v>
      </c>
      <c r="G92" s="128"/>
      <c r="H92" s="125">
        <v>41</v>
      </c>
      <c r="I92" s="159">
        <f t="shared" si="10"/>
        <v>17938</v>
      </c>
      <c r="J92" s="160">
        <f t="shared" si="24"/>
        <v>16213</v>
      </c>
      <c r="K92" s="171">
        <f t="shared" si="12"/>
        <v>17476</v>
      </c>
      <c r="L92" s="161">
        <f t="shared" si="25"/>
        <v>14547</v>
      </c>
      <c r="M92" s="127"/>
      <c r="N92" s="125">
        <v>41</v>
      </c>
      <c r="O92" s="159">
        <f t="shared" si="14"/>
        <v>17938</v>
      </c>
      <c r="P92" s="160">
        <f t="shared" si="26"/>
        <v>16131</v>
      </c>
      <c r="Q92" s="171">
        <f t="shared" si="16"/>
        <v>17571</v>
      </c>
      <c r="R92" s="173">
        <f t="shared" si="27"/>
        <v>14616</v>
      </c>
      <c r="S92" s="127"/>
      <c r="T92" s="125">
        <v>41</v>
      </c>
      <c r="U92" s="171">
        <f t="shared" si="18"/>
        <v>17938</v>
      </c>
      <c r="V92" s="160">
        <f t="shared" si="28"/>
        <v>16008</v>
      </c>
      <c r="W92" s="171">
        <f t="shared" si="20"/>
        <v>17740</v>
      </c>
      <c r="X92" s="173">
        <f t="shared" si="29"/>
        <v>15012</v>
      </c>
      <c r="Y92" s="127"/>
      <c r="Z92" s="128"/>
      <c r="AA92" s="92"/>
      <c r="AB92" s="92"/>
      <c r="AC92" s="93"/>
      <c r="AD92" s="92"/>
    </row>
    <row r="93" spans="2:30">
      <c r="B93" s="125">
        <v>42</v>
      </c>
      <c r="C93" s="159">
        <f t="shared" si="6"/>
        <v>18375</v>
      </c>
      <c r="D93" s="160">
        <f t="shared" si="22"/>
        <v>15570</v>
      </c>
      <c r="E93" s="159">
        <f t="shared" si="8"/>
        <v>18375</v>
      </c>
      <c r="F93" s="161">
        <f t="shared" si="23"/>
        <v>15570</v>
      </c>
      <c r="G93" s="128"/>
      <c r="H93" s="125">
        <v>42</v>
      </c>
      <c r="I93" s="159">
        <f t="shared" si="10"/>
        <v>18375</v>
      </c>
      <c r="J93" s="160">
        <f t="shared" si="24"/>
        <v>15906</v>
      </c>
      <c r="K93" s="171">
        <f t="shared" si="12"/>
        <v>17903</v>
      </c>
      <c r="L93" s="161">
        <f t="shared" si="25"/>
        <v>14214</v>
      </c>
      <c r="M93" s="127"/>
      <c r="N93" s="125">
        <v>42</v>
      </c>
      <c r="O93" s="159">
        <f t="shared" si="14"/>
        <v>18375</v>
      </c>
      <c r="P93" s="160">
        <f t="shared" si="26"/>
        <v>15822</v>
      </c>
      <c r="Q93" s="171">
        <f t="shared" si="16"/>
        <v>18000</v>
      </c>
      <c r="R93" s="173">
        <f t="shared" si="27"/>
        <v>14292</v>
      </c>
      <c r="S93" s="127"/>
      <c r="T93" s="125">
        <v>42</v>
      </c>
      <c r="U93" s="171">
        <f t="shared" si="18"/>
        <v>18375</v>
      </c>
      <c r="V93" s="160">
        <f t="shared" si="28"/>
        <v>15696</v>
      </c>
      <c r="W93" s="171">
        <f t="shared" si="20"/>
        <v>18173</v>
      </c>
      <c r="X93" s="173">
        <f t="shared" si="29"/>
        <v>14694</v>
      </c>
      <c r="Y93" s="127"/>
      <c r="Z93" s="128"/>
      <c r="AA93" s="92"/>
      <c r="AB93" s="92"/>
      <c r="AC93" s="93"/>
      <c r="AD93" s="92"/>
    </row>
    <row r="94" spans="2:30">
      <c r="B94" s="125">
        <v>43</v>
      </c>
      <c r="C94" s="159">
        <f t="shared" si="6"/>
        <v>18813</v>
      </c>
      <c r="D94" s="160">
        <f t="shared" si="22"/>
        <v>15255</v>
      </c>
      <c r="E94" s="159">
        <f t="shared" si="8"/>
        <v>18813</v>
      </c>
      <c r="F94" s="161">
        <f t="shared" si="23"/>
        <v>15255</v>
      </c>
      <c r="G94" s="128"/>
      <c r="H94" s="125">
        <v>43</v>
      </c>
      <c r="I94" s="159">
        <f t="shared" si="10"/>
        <v>18813</v>
      </c>
      <c r="J94" s="160">
        <f t="shared" si="24"/>
        <v>15599</v>
      </c>
      <c r="K94" s="171">
        <f t="shared" si="12"/>
        <v>18329</v>
      </c>
      <c r="L94" s="161">
        <f t="shared" si="25"/>
        <v>13881</v>
      </c>
      <c r="M94" s="127"/>
      <c r="N94" s="125">
        <v>43</v>
      </c>
      <c r="O94" s="159">
        <f t="shared" si="14"/>
        <v>18813</v>
      </c>
      <c r="P94" s="160">
        <f t="shared" si="26"/>
        <v>15513</v>
      </c>
      <c r="Q94" s="171">
        <f t="shared" si="16"/>
        <v>18429</v>
      </c>
      <c r="R94" s="173">
        <f t="shared" si="27"/>
        <v>13968</v>
      </c>
      <c r="S94" s="127"/>
      <c r="T94" s="125">
        <v>43</v>
      </c>
      <c r="U94" s="171">
        <f t="shared" si="18"/>
        <v>18813</v>
      </c>
      <c r="V94" s="160">
        <f t="shared" si="28"/>
        <v>15384</v>
      </c>
      <c r="W94" s="171">
        <f t="shared" si="20"/>
        <v>18606</v>
      </c>
      <c r="X94" s="173">
        <f t="shared" si="29"/>
        <v>14376</v>
      </c>
      <c r="Y94" s="127"/>
      <c r="Z94" s="128"/>
      <c r="AA94" s="92"/>
      <c r="AB94" s="92"/>
      <c r="AC94" s="93"/>
      <c r="AD94" s="92"/>
    </row>
    <row r="95" spans="2:30">
      <c r="B95" s="125">
        <v>44</v>
      </c>
      <c r="C95" s="159">
        <f t="shared" si="6"/>
        <v>19250</v>
      </c>
      <c r="D95" s="160">
        <f t="shared" si="22"/>
        <v>14940</v>
      </c>
      <c r="E95" s="159">
        <f t="shared" si="8"/>
        <v>19250</v>
      </c>
      <c r="F95" s="161">
        <f t="shared" si="23"/>
        <v>14940</v>
      </c>
      <c r="G95" s="128"/>
      <c r="H95" s="125">
        <v>44</v>
      </c>
      <c r="I95" s="159">
        <f t="shared" si="10"/>
        <v>19250</v>
      </c>
      <c r="J95" s="160">
        <f t="shared" si="24"/>
        <v>15292</v>
      </c>
      <c r="K95" s="171">
        <f t="shared" si="12"/>
        <v>18755</v>
      </c>
      <c r="L95" s="161">
        <f t="shared" si="25"/>
        <v>13548</v>
      </c>
      <c r="M95" s="127"/>
      <c r="N95" s="125">
        <v>44</v>
      </c>
      <c r="O95" s="159">
        <f t="shared" si="14"/>
        <v>19250</v>
      </c>
      <c r="P95" s="160">
        <f t="shared" si="26"/>
        <v>15204</v>
      </c>
      <c r="Q95" s="171">
        <f t="shared" si="16"/>
        <v>18857</v>
      </c>
      <c r="R95" s="173">
        <f t="shared" si="27"/>
        <v>13644</v>
      </c>
      <c r="S95" s="127"/>
      <c r="T95" s="125">
        <v>44</v>
      </c>
      <c r="U95" s="171">
        <f t="shared" si="18"/>
        <v>19250</v>
      </c>
      <c r="V95" s="160">
        <f t="shared" si="28"/>
        <v>15072</v>
      </c>
      <c r="W95" s="171">
        <f t="shared" si="20"/>
        <v>19038</v>
      </c>
      <c r="X95" s="173">
        <f t="shared" si="29"/>
        <v>14058</v>
      </c>
      <c r="Y95" s="127"/>
      <c r="Z95" s="128"/>
      <c r="AA95" s="92"/>
      <c r="AB95" s="92"/>
      <c r="AC95" s="93"/>
      <c r="AD95" s="92"/>
    </row>
    <row r="96" spans="2:30">
      <c r="B96" s="125">
        <v>45</v>
      </c>
      <c r="C96" s="159">
        <f t="shared" si="6"/>
        <v>19688</v>
      </c>
      <c r="D96" s="160">
        <f t="shared" si="22"/>
        <v>14625</v>
      </c>
      <c r="E96" s="159">
        <f t="shared" si="8"/>
        <v>19688</v>
      </c>
      <c r="F96" s="161">
        <f t="shared" si="23"/>
        <v>14625</v>
      </c>
      <c r="G96" s="128"/>
      <c r="H96" s="125">
        <v>45</v>
      </c>
      <c r="I96" s="159">
        <f t="shared" si="10"/>
        <v>19688</v>
      </c>
      <c r="J96" s="160">
        <f t="shared" si="24"/>
        <v>14985</v>
      </c>
      <c r="K96" s="171">
        <f t="shared" si="12"/>
        <v>19181</v>
      </c>
      <c r="L96" s="161">
        <f t="shared" si="25"/>
        <v>13215</v>
      </c>
      <c r="M96" s="127"/>
      <c r="N96" s="125">
        <v>45</v>
      </c>
      <c r="O96" s="159">
        <f t="shared" si="14"/>
        <v>19688</v>
      </c>
      <c r="P96" s="160">
        <f t="shared" si="26"/>
        <v>14895</v>
      </c>
      <c r="Q96" s="171">
        <f t="shared" si="16"/>
        <v>19286</v>
      </c>
      <c r="R96" s="173">
        <f t="shared" si="27"/>
        <v>13320</v>
      </c>
      <c r="S96" s="127"/>
      <c r="T96" s="125">
        <v>45</v>
      </c>
      <c r="U96" s="171">
        <f t="shared" si="18"/>
        <v>19688</v>
      </c>
      <c r="V96" s="160">
        <f t="shared" si="28"/>
        <v>14760</v>
      </c>
      <c r="W96" s="171">
        <f t="shared" si="20"/>
        <v>19471</v>
      </c>
      <c r="X96" s="173">
        <f t="shared" si="29"/>
        <v>13740</v>
      </c>
      <c r="Y96" s="127"/>
      <c r="Z96" s="128"/>
      <c r="AA96" s="92"/>
      <c r="AB96" s="92"/>
      <c r="AC96" s="93"/>
      <c r="AD96" s="92"/>
    </row>
    <row r="97" spans="2:30">
      <c r="B97" s="125">
        <v>46</v>
      </c>
      <c r="C97" s="159">
        <f t="shared" si="6"/>
        <v>20125</v>
      </c>
      <c r="D97" s="160">
        <f t="shared" si="22"/>
        <v>14310</v>
      </c>
      <c r="E97" s="159">
        <f t="shared" si="8"/>
        <v>20125</v>
      </c>
      <c r="F97" s="161">
        <f t="shared" si="23"/>
        <v>14310</v>
      </c>
      <c r="G97" s="128"/>
      <c r="H97" s="125">
        <v>46</v>
      </c>
      <c r="I97" s="159">
        <f t="shared" si="10"/>
        <v>20125</v>
      </c>
      <c r="J97" s="160">
        <f t="shared" si="24"/>
        <v>14678</v>
      </c>
      <c r="K97" s="171">
        <f t="shared" si="12"/>
        <v>19608</v>
      </c>
      <c r="L97" s="161">
        <f t="shared" si="25"/>
        <v>12882</v>
      </c>
      <c r="M97" s="127"/>
      <c r="N97" s="125">
        <v>46</v>
      </c>
      <c r="O97" s="159">
        <f t="shared" si="14"/>
        <v>20125</v>
      </c>
      <c r="P97" s="160">
        <f t="shared" si="26"/>
        <v>14586</v>
      </c>
      <c r="Q97" s="171">
        <f t="shared" si="16"/>
        <v>19714</v>
      </c>
      <c r="R97" s="173">
        <f t="shared" si="27"/>
        <v>12996</v>
      </c>
      <c r="S97" s="127"/>
      <c r="T97" s="125">
        <v>46</v>
      </c>
      <c r="U97" s="171">
        <f t="shared" si="18"/>
        <v>20125</v>
      </c>
      <c r="V97" s="160">
        <f t="shared" si="28"/>
        <v>14448</v>
      </c>
      <c r="W97" s="171">
        <f t="shared" si="20"/>
        <v>19904</v>
      </c>
      <c r="X97" s="173">
        <f t="shared" si="29"/>
        <v>13422</v>
      </c>
      <c r="Y97" s="127"/>
      <c r="Z97" s="128"/>
      <c r="AA97" s="92"/>
      <c r="AB97" s="92"/>
      <c r="AC97" s="93"/>
      <c r="AD97" s="92"/>
    </row>
    <row r="98" spans="2:30">
      <c r="B98" s="125">
        <v>47</v>
      </c>
      <c r="C98" s="159">
        <f t="shared" si="6"/>
        <v>20563</v>
      </c>
      <c r="D98" s="160">
        <f t="shared" si="22"/>
        <v>13995</v>
      </c>
      <c r="E98" s="159">
        <f t="shared" si="8"/>
        <v>20563</v>
      </c>
      <c r="F98" s="161">
        <f t="shared" si="23"/>
        <v>13995</v>
      </c>
      <c r="G98" s="128"/>
      <c r="H98" s="125">
        <v>47</v>
      </c>
      <c r="I98" s="159">
        <f t="shared" si="10"/>
        <v>20563</v>
      </c>
      <c r="J98" s="160">
        <f t="shared" si="24"/>
        <v>14371</v>
      </c>
      <c r="K98" s="171">
        <f t="shared" si="12"/>
        <v>20034</v>
      </c>
      <c r="L98" s="161">
        <f t="shared" si="25"/>
        <v>12549</v>
      </c>
      <c r="M98" s="127"/>
      <c r="N98" s="125">
        <v>47</v>
      </c>
      <c r="O98" s="159">
        <f t="shared" si="14"/>
        <v>20563</v>
      </c>
      <c r="P98" s="160">
        <f t="shared" si="26"/>
        <v>14277</v>
      </c>
      <c r="Q98" s="171">
        <f t="shared" si="16"/>
        <v>20143</v>
      </c>
      <c r="R98" s="173">
        <f t="shared" si="27"/>
        <v>12672</v>
      </c>
      <c r="S98" s="127"/>
      <c r="T98" s="125">
        <v>47</v>
      </c>
      <c r="U98" s="171">
        <f t="shared" si="18"/>
        <v>20563</v>
      </c>
      <c r="V98" s="160">
        <f t="shared" si="28"/>
        <v>14136</v>
      </c>
      <c r="W98" s="171">
        <f t="shared" si="20"/>
        <v>20337</v>
      </c>
      <c r="X98" s="173">
        <f t="shared" si="29"/>
        <v>13104</v>
      </c>
      <c r="Y98" s="127"/>
      <c r="Z98" s="128"/>
      <c r="AA98" s="92"/>
      <c r="AB98" s="92"/>
      <c r="AC98" s="93"/>
      <c r="AD98" s="92"/>
    </row>
    <row r="99" spans="2:30">
      <c r="B99" s="125">
        <v>48</v>
      </c>
      <c r="C99" s="159">
        <f t="shared" si="6"/>
        <v>21000</v>
      </c>
      <c r="D99" s="160">
        <f t="shared" si="22"/>
        <v>13680</v>
      </c>
      <c r="E99" s="159">
        <f t="shared" si="8"/>
        <v>21000</v>
      </c>
      <c r="F99" s="161">
        <f t="shared" si="23"/>
        <v>13680</v>
      </c>
      <c r="G99" s="128"/>
      <c r="H99" s="125">
        <v>48</v>
      </c>
      <c r="I99" s="159">
        <f t="shared" si="10"/>
        <v>21000</v>
      </c>
      <c r="J99" s="160">
        <f t="shared" si="24"/>
        <v>14064</v>
      </c>
      <c r="K99" s="171">
        <f t="shared" si="12"/>
        <v>20460</v>
      </c>
      <c r="L99" s="161">
        <f t="shared" si="25"/>
        <v>12216</v>
      </c>
      <c r="M99" s="127"/>
      <c r="N99" s="125">
        <v>48</v>
      </c>
      <c r="O99" s="159">
        <f t="shared" si="14"/>
        <v>21000</v>
      </c>
      <c r="P99" s="160">
        <f t="shared" si="26"/>
        <v>13968</v>
      </c>
      <c r="Q99" s="171">
        <f t="shared" si="16"/>
        <v>20571</v>
      </c>
      <c r="R99" s="173">
        <f t="shared" si="27"/>
        <v>12348</v>
      </c>
      <c r="S99" s="127"/>
      <c r="T99" s="125">
        <v>48</v>
      </c>
      <c r="U99" s="171">
        <f t="shared" si="18"/>
        <v>21000</v>
      </c>
      <c r="V99" s="160">
        <f t="shared" si="28"/>
        <v>13824</v>
      </c>
      <c r="W99" s="171">
        <f t="shared" si="20"/>
        <v>20769</v>
      </c>
      <c r="X99" s="173">
        <f t="shared" si="29"/>
        <v>12786</v>
      </c>
      <c r="Y99" s="127"/>
      <c r="Z99" s="128"/>
      <c r="AA99" s="92"/>
      <c r="AB99" s="92"/>
      <c r="AC99" s="93"/>
      <c r="AD99" s="92"/>
    </row>
    <row r="100" spans="2:30">
      <c r="B100" s="125">
        <v>49</v>
      </c>
      <c r="C100" s="159">
        <f t="shared" si="6"/>
        <v>21438</v>
      </c>
      <c r="D100" s="160">
        <f t="shared" si="22"/>
        <v>13365</v>
      </c>
      <c r="E100" s="159">
        <f t="shared" si="8"/>
        <v>21438</v>
      </c>
      <c r="F100" s="161">
        <f t="shared" si="23"/>
        <v>13365</v>
      </c>
      <c r="G100" s="128"/>
      <c r="H100" s="125">
        <v>49</v>
      </c>
      <c r="I100" s="159">
        <f t="shared" si="10"/>
        <v>21438</v>
      </c>
      <c r="J100" s="160">
        <f t="shared" si="24"/>
        <v>13757</v>
      </c>
      <c r="K100" s="171">
        <f t="shared" si="12"/>
        <v>20886</v>
      </c>
      <c r="L100" s="161">
        <f t="shared" si="25"/>
        <v>11883</v>
      </c>
      <c r="M100" s="127"/>
      <c r="N100" s="125">
        <v>49</v>
      </c>
      <c r="O100" s="159">
        <f t="shared" si="14"/>
        <v>21438</v>
      </c>
      <c r="P100" s="160">
        <f t="shared" si="26"/>
        <v>13659</v>
      </c>
      <c r="Q100" s="171">
        <f t="shared" si="16"/>
        <v>21000</v>
      </c>
      <c r="R100" s="173">
        <f t="shared" si="27"/>
        <v>12024</v>
      </c>
      <c r="S100" s="127"/>
      <c r="T100" s="125">
        <v>49</v>
      </c>
      <c r="U100" s="171">
        <f t="shared" si="18"/>
        <v>21438</v>
      </c>
      <c r="V100" s="160">
        <f t="shared" si="28"/>
        <v>13512</v>
      </c>
      <c r="W100" s="171">
        <f t="shared" si="20"/>
        <v>21202</v>
      </c>
      <c r="X100" s="173">
        <f t="shared" si="29"/>
        <v>12468</v>
      </c>
      <c r="Y100" s="127"/>
      <c r="Z100" s="128"/>
      <c r="AA100" s="92"/>
      <c r="AB100" s="92"/>
      <c r="AC100" s="93"/>
      <c r="AD100" s="92"/>
    </row>
    <row r="101" spans="2:30">
      <c r="B101" s="129">
        <v>50</v>
      </c>
      <c r="C101" s="162">
        <f t="shared" si="6"/>
        <v>21875</v>
      </c>
      <c r="D101" s="163">
        <f t="shared" si="22"/>
        <v>13050</v>
      </c>
      <c r="E101" s="162">
        <f t="shared" si="8"/>
        <v>21875</v>
      </c>
      <c r="F101" s="164">
        <f t="shared" si="23"/>
        <v>13050</v>
      </c>
      <c r="G101" s="128"/>
      <c r="H101" s="129">
        <v>50</v>
      </c>
      <c r="I101" s="162">
        <f t="shared" si="10"/>
        <v>21875</v>
      </c>
      <c r="J101" s="163">
        <f t="shared" si="24"/>
        <v>13450</v>
      </c>
      <c r="K101" s="180">
        <f t="shared" si="12"/>
        <v>21313</v>
      </c>
      <c r="L101" s="164">
        <f t="shared" si="25"/>
        <v>11550</v>
      </c>
      <c r="M101" s="127"/>
      <c r="N101" s="129">
        <v>50</v>
      </c>
      <c r="O101" s="162">
        <f t="shared" si="14"/>
        <v>21875</v>
      </c>
      <c r="P101" s="163">
        <f t="shared" si="26"/>
        <v>13350</v>
      </c>
      <c r="Q101" s="180">
        <f t="shared" si="16"/>
        <v>21429</v>
      </c>
      <c r="R101" s="187">
        <f t="shared" si="27"/>
        <v>11700</v>
      </c>
      <c r="S101" s="127"/>
      <c r="T101" s="129">
        <v>50</v>
      </c>
      <c r="U101" s="180">
        <f t="shared" si="18"/>
        <v>21875</v>
      </c>
      <c r="V101" s="163">
        <f t="shared" si="28"/>
        <v>13200</v>
      </c>
      <c r="W101" s="180">
        <f t="shared" si="20"/>
        <v>21635</v>
      </c>
      <c r="X101" s="187">
        <f t="shared" si="29"/>
        <v>12150</v>
      </c>
      <c r="Y101" s="127"/>
      <c r="Z101" s="128"/>
      <c r="AA101" s="92"/>
      <c r="AB101" s="92"/>
      <c r="AC101" s="93"/>
      <c r="AD101" s="92"/>
    </row>
    <row r="102" spans="2:30">
      <c r="B102" s="125">
        <v>51</v>
      </c>
      <c r="C102" s="159">
        <f t="shared" si="6"/>
        <v>22313</v>
      </c>
      <c r="D102" s="160">
        <f t="shared" si="22"/>
        <v>12735</v>
      </c>
      <c r="E102" s="159">
        <f t="shared" si="8"/>
        <v>22313</v>
      </c>
      <c r="F102" s="161">
        <f t="shared" si="23"/>
        <v>12735</v>
      </c>
      <c r="G102" s="128"/>
      <c r="H102" s="125">
        <v>51</v>
      </c>
      <c r="I102" s="159">
        <f t="shared" si="10"/>
        <v>22313</v>
      </c>
      <c r="J102" s="160">
        <f t="shared" si="24"/>
        <v>13143</v>
      </c>
      <c r="K102" s="171">
        <f t="shared" si="12"/>
        <v>21739</v>
      </c>
      <c r="L102" s="161">
        <f t="shared" si="25"/>
        <v>11217</v>
      </c>
      <c r="M102" s="127"/>
      <c r="N102" s="125">
        <v>51</v>
      </c>
      <c r="O102" s="159">
        <f t="shared" si="14"/>
        <v>22313</v>
      </c>
      <c r="P102" s="160">
        <f t="shared" si="26"/>
        <v>13041</v>
      </c>
      <c r="Q102" s="171">
        <f t="shared" si="16"/>
        <v>21857</v>
      </c>
      <c r="R102" s="173">
        <f t="shared" si="27"/>
        <v>11376</v>
      </c>
      <c r="S102" s="127"/>
      <c r="T102" s="125">
        <v>51</v>
      </c>
      <c r="U102" s="171">
        <f t="shared" si="18"/>
        <v>22313</v>
      </c>
      <c r="V102" s="160">
        <f t="shared" si="28"/>
        <v>12888</v>
      </c>
      <c r="W102" s="171">
        <f t="shared" si="20"/>
        <v>22067</v>
      </c>
      <c r="X102" s="173">
        <f t="shared" si="29"/>
        <v>11832</v>
      </c>
      <c r="Y102" s="127"/>
      <c r="Z102" s="128"/>
      <c r="AA102" s="92"/>
      <c r="AB102" s="92"/>
      <c r="AC102" s="93"/>
      <c r="AD102" s="92"/>
    </row>
    <row r="103" spans="2:30">
      <c r="B103" s="125">
        <v>52</v>
      </c>
      <c r="C103" s="159">
        <f t="shared" si="6"/>
        <v>22750</v>
      </c>
      <c r="D103" s="160">
        <f t="shared" si="22"/>
        <v>12420</v>
      </c>
      <c r="E103" s="159">
        <f t="shared" si="8"/>
        <v>22750</v>
      </c>
      <c r="F103" s="161">
        <f t="shared" si="23"/>
        <v>12420</v>
      </c>
      <c r="G103" s="128"/>
      <c r="H103" s="125">
        <v>52</v>
      </c>
      <c r="I103" s="159">
        <f t="shared" si="10"/>
        <v>22750</v>
      </c>
      <c r="J103" s="160">
        <f t="shared" si="24"/>
        <v>12836</v>
      </c>
      <c r="K103" s="171">
        <f t="shared" si="12"/>
        <v>22165</v>
      </c>
      <c r="L103" s="161">
        <f t="shared" si="25"/>
        <v>10884</v>
      </c>
      <c r="M103" s="127"/>
      <c r="N103" s="125">
        <v>52</v>
      </c>
      <c r="O103" s="159">
        <f t="shared" si="14"/>
        <v>22750</v>
      </c>
      <c r="P103" s="160">
        <f t="shared" si="26"/>
        <v>12732</v>
      </c>
      <c r="Q103" s="171">
        <f t="shared" si="16"/>
        <v>22286</v>
      </c>
      <c r="R103" s="173">
        <f t="shared" si="27"/>
        <v>11052</v>
      </c>
      <c r="S103" s="127"/>
      <c r="T103" s="125">
        <v>52</v>
      </c>
      <c r="U103" s="171">
        <f t="shared" si="18"/>
        <v>22750</v>
      </c>
      <c r="V103" s="160">
        <f t="shared" si="28"/>
        <v>12576</v>
      </c>
      <c r="W103" s="171">
        <f t="shared" si="20"/>
        <v>22500</v>
      </c>
      <c r="X103" s="173">
        <f t="shared" si="29"/>
        <v>11514</v>
      </c>
      <c r="Y103" s="127"/>
      <c r="Z103" s="128"/>
      <c r="AA103" s="92"/>
      <c r="AB103" s="92"/>
      <c r="AC103" s="93"/>
      <c r="AD103" s="92"/>
    </row>
    <row r="104" spans="2:30">
      <c r="B104" s="125">
        <v>53</v>
      </c>
      <c r="C104" s="159">
        <f t="shared" si="6"/>
        <v>23188</v>
      </c>
      <c r="D104" s="160">
        <f t="shared" si="22"/>
        <v>12105</v>
      </c>
      <c r="E104" s="159">
        <f t="shared" si="8"/>
        <v>23188</v>
      </c>
      <c r="F104" s="161">
        <f t="shared" si="23"/>
        <v>12105</v>
      </c>
      <c r="G104" s="128"/>
      <c r="H104" s="125">
        <v>53</v>
      </c>
      <c r="I104" s="159">
        <f t="shared" si="10"/>
        <v>23188</v>
      </c>
      <c r="J104" s="160">
        <f t="shared" si="24"/>
        <v>12529</v>
      </c>
      <c r="K104" s="171">
        <f t="shared" si="12"/>
        <v>22591</v>
      </c>
      <c r="L104" s="161">
        <f t="shared" si="25"/>
        <v>10551</v>
      </c>
      <c r="M104" s="127"/>
      <c r="N104" s="125">
        <v>53</v>
      </c>
      <c r="O104" s="159">
        <f t="shared" si="14"/>
        <v>23188</v>
      </c>
      <c r="P104" s="160">
        <f t="shared" si="26"/>
        <v>12423</v>
      </c>
      <c r="Q104" s="171">
        <f t="shared" si="16"/>
        <v>22714</v>
      </c>
      <c r="R104" s="173">
        <f t="shared" si="27"/>
        <v>10728</v>
      </c>
      <c r="S104" s="127"/>
      <c r="T104" s="125">
        <v>53</v>
      </c>
      <c r="U104" s="171">
        <f t="shared" si="18"/>
        <v>23188</v>
      </c>
      <c r="V104" s="160">
        <f t="shared" si="28"/>
        <v>12264</v>
      </c>
      <c r="W104" s="171">
        <f t="shared" si="20"/>
        <v>22933</v>
      </c>
      <c r="X104" s="173">
        <f t="shared" si="29"/>
        <v>11196</v>
      </c>
      <c r="Y104" s="127"/>
      <c r="Z104" s="128"/>
      <c r="AA104" s="92"/>
      <c r="AB104" s="92"/>
      <c r="AC104" s="93"/>
      <c r="AD104" s="92"/>
    </row>
    <row r="105" spans="2:30">
      <c r="B105" s="125">
        <v>54</v>
      </c>
      <c r="C105" s="159">
        <f t="shared" si="6"/>
        <v>23625</v>
      </c>
      <c r="D105" s="160">
        <f t="shared" si="22"/>
        <v>11790</v>
      </c>
      <c r="E105" s="159">
        <f t="shared" si="8"/>
        <v>23625</v>
      </c>
      <c r="F105" s="161">
        <f t="shared" si="23"/>
        <v>11790</v>
      </c>
      <c r="G105" s="128"/>
      <c r="H105" s="125">
        <v>54</v>
      </c>
      <c r="I105" s="159">
        <f t="shared" si="10"/>
        <v>23625</v>
      </c>
      <c r="J105" s="160">
        <f t="shared" si="24"/>
        <v>12222</v>
      </c>
      <c r="K105" s="171">
        <f t="shared" si="12"/>
        <v>23018</v>
      </c>
      <c r="L105" s="161">
        <f t="shared" si="25"/>
        <v>10218</v>
      </c>
      <c r="M105" s="127"/>
      <c r="N105" s="125">
        <v>54</v>
      </c>
      <c r="O105" s="159">
        <f t="shared" si="14"/>
        <v>23625</v>
      </c>
      <c r="P105" s="160">
        <f t="shared" si="26"/>
        <v>12114</v>
      </c>
      <c r="Q105" s="171">
        <f t="shared" si="16"/>
        <v>23143</v>
      </c>
      <c r="R105" s="173">
        <f t="shared" si="27"/>
        <v>10404</v>
      </c>
      <c r="S105" s="127"/>
      <c r="T105" s="125">
        <v>54</v>
      </c>
      <c r="U105" s="171">
        <f t="shared" si="18"/>
        <v>23625</v>
      </c>
      <c r="V105" s="160">
        <f t="shared" si="28"/>
        <v>11952</v>
      </c>
      <c r="W105" s="171">
        <f t="shared" si="20"/>
        <v>23365</v>
      </c>
      <c r="X105" s="173">
        <f t="shared" si="29"/>
        <v>10878</v>
      </c>
      <c r="Y105" s="127"/>
      <c r="Z105" s="128"/>
      <c r="AA105" s="92"/>
      <c r="AB105" s="92"/>
      <c r="AC105" s="93"/>
      <c r="AD105" s="92"/>
    </row>
    <row r="106" spans="2:30">
      <c r="B106" s="125">
        <v>55</v>
      </c>
      <c r="C106" s="159">
        <f t="shared" si="6"/>
        <v>24063</v>
      </c>
      <c r="D106" s="160">
        <f t="shared" si="22"/>
        <v>11475</v>
      </c>
      <c r="E106" s="159">
        <f t="shared" si="8"/>
        <v>24063</v>
      </c>
      <c r="F106" s="161">
        <f t="shared" si="23"/>
        <v>11475</v>
      </c>
      <c r="G106" s="128"/>
      <c r="H106" s="125">
        <v>55</v>
      </c>
      <c r="I106" s="159">
        <f t="shared" si="10"/>
        <v>24063</v>
      </c>
      <c r="J106" s="160">
        <f t="shared" si="24"/>
        <v>11915</v>
      </c>
      <c r="K106" s="171">
        <f t="shared" si="12"/>
        <v>23444</v>
      </c>
      <c r="L106" s="161">
        <f t="shared" si="25"/>
        <v>9885</v>
      </c>
      <c r="M106" s="127"/>
      <c r="N106" s="125">
        <v>55</v>
      </c>
      <c r="O106" s="159">
        <f t="shared" si="14"/>
        <v>24063</v>
      </c>
      <c r="P106" s="160">
        <f t="shared" si="26"/>
        <v>11805</v>
      </c>
      <c r="Q106" s="171">
        <f t="shared" si="16"/>
        <v>23571</v>
      </c>
      <c r="R106" s="173">
        <f t="shared" si="27"/>
        <v>10080</v>
      </c>
      <c r="S106" s="127"/>
      <c r="T106" s="125">
        <v>55</v>
      </c>
      <c r="U106" s="171">
        <f t="shared" si="18"/>
        <v>24063</v>
      </c>
      <c r="V106" s="160">
        <f t="shared" si="28"/>
        <v>11640</v>
      </c>
      <c r="W106" s="171">
        <f t="shared" si="20"/>
        <v>23798</v>
      </c>
      <c r="X106" s="173">
        <f t="shared" si="29"/>
        <v>10560</v>
      </c>
      <c r="Y106" s="127"/>
      <c r="Z106" s="128"/>
      <c r="AA106" s="92"/>
      <c r="AB106" s="92"/>
      <c r="AC106" s="93"/>
      <c r="AD106" s="92"/>
    </row>
    <row r="107" spans="2:30">
      <c r="B107" s="125">
        <v>56</v>
      </c>
      <c r="C107" s="159">
        <f t="shared" si="6"/>
        <v>24500</v>
      </c>
      <c r="D107" s="160">
        <f t="shared" si="22"/>
        <v>11160</v>
      </c>
      <c r="E107" s="159">
        <f t="shared" si="8"/>
        <v>24500</v>
      </c>
      <c r="F107" s="161">
        <f t="shared" si="23"/>
        <v>11160</v>
      </c>
      <c r="G107" s="128"/>
      <c r="H107" s="125">
        <v>56</v>
      </c>
      <c r="I107" s="159">
        <f t="shared" si="10"/>
        <v>24500</v>
      </c>
      <c r="J107" s="160">
        <f t="shared" si="24"/>
        <v>11608</v>
      </c>
      <c r="K107" s="171">
        <f t="shared" si="12"/>
        <v>23870</v>
      </c>
      <c r="L107" s="161">
        <f t="shared" si="25"/>
        <v>9552</v>
      </c>
      <c r="M107" s="127"/>
      <c r="N107" s="125">
        <v>56</v>
      </c>
      <c r="O107" s="159">
        <f t="shared" si="14"/>
        <v>24500</v>
      </c>
      <c r="P107" s="160">
        <f t="shared" si="26"/>
        <v>11496</v>
      </c>
      <c r="Q107" s="171">
        <f t="shared" si="16"/>
        <v>24000</v>
      </c>
      <c r="R107" s="173">
        <f t="shared" si="27"/>
        <v>9756</v>
      </c>
      <c r="S107" s="127"/>
      <c r="T107" s="125">
        <v>56</v>
      </c>
      <c r="U107" s="171">
        <f t="shared" si="18"/>
        <v>24500</v>
      </c>
      <c r="V107" s="160">
        <f t="shared" si="28"/>
        <v>11328</v>
      </c>
      <c r="W107" s="171">
        <f t="shared" si="20"/>
        <v>24231</v>
      </c>
      <c r="X107" s="173">
        <f t="shared" si="29"/>
        <v>10242</v>
      </c>
      <c r="Y107" s="127"/>
      <c r="Z107" s="128"/>
      <c r="AA107" s="92"/>
      <c r="AB107" s="92"/>
      <c r="AC107" s="93"/>
      <c r="AD107" s="92"/>
    </row>
    <row r="108" spans="2:30">
      <c r="B108" s="125">
        <v>57</v>
      </c>
      <c r="C108" s="159">
        <f t="shared" si="6"/>
        <v>24938</v>
      </c>
      <c r="D108" s="160">
        <f t="shared" si="22"/>
        <v>10845</v>
      </c>
      <c r="E108" s="159">
        <f t="shared" si="8"/>
        <v>24938</v>
      </c>
      <c r="F108" s="161">
        <f t="shared" si="23"/>
        <v>10845</v>
      </c>
      <c r="G108" s="128"/>
      <c r="H108" s="125">
        <v>57</v>
      </c>
      <c r="I108" s="159">
        <f t="shared" si="10"/>
        <v>24938</v>
      </c>
      <c r="J108" s="160">
        <f t="shared" si="24"/>
        <v>11301</v>
      </c>
      <c r="K108" s="171">
        <f t="shared" si="12"/>
        <v>24296</v>
      </c>
      <c r="L108" s="161">
        <f t="shared" si="25"/>
        <v>9219</v>
      </c>
      <c r="M108" s="127"/>
      <c r="N108" s="125">
        <v>57</v>
      </c>
      <c r="O108" s="159">
        <f t="shared" si="14"/>
        <v>24938</v>
      </c>
      <c r="P108" s="160">
        <f t="shared" si="26"/>
        <v>11187</v>
      </c>
      <c r="Q108" s="171">
        <f t="shared" si="16"/>
        <v>24429</v>
      </c>
      <c r="R108" s="173">
        <f t="shared" si="27"/>
        <v>9432</v>
      </c>
      <c r="S108" s="127"/>
      <c r="T108" s="125">
        <v>57</v>
      </c>
      <c r="U108" s="171">
        <f t="shared" si="18"/>
        <v>24938</v>
      </c>
      <c r="V108" s="160">
        <f t="shared" si="28"/>
        <v>11016</v>
      </c>
      <c r="W108" s="171">
        <f t="shared" si="20"/>
        <v>24663</v>
      </c>
      <c r="X108" s="173">
        <f t="shared" si="29"/>
        <v>9924</v>
      </c>
      <c r="Y108" s="127"/>
      <c r="Z108" s="128"/>
      <c r="AA108" s="92"/>
      <c r="AB108" s="92"/>
      <c r="AC108" s="93"/>
      <c r="AD108" s="92"/>
    </row>
    <row r="109" spans="2:30">
      <c r="B109" s="125">
        <v>58</v>
      </c>
      <c r="C109" s="159">
        <f t="shared" si="6"/>
        <v>25375</v>
      </c>
      <c r="D109" s="160">
        <f t="shared" si="22"/>
        <v>10530</v>
      </c>
      <c r="E109" s="159">
        <f t="shared" si="8"/>
        <v>25375</v>
      </c>
      <c r="F109" s="161">
        <f t="shared" si="23"/>
        <v>10530</v>
      </c>
      <c r="G109" s="128"/>
      <c r="H109" s="125">
        <v>58</v>
      </c>
      <c r="I109" s="159">
        <f t="shared" si="10"/>
        <v>25375</v>
      </c>
      <c r="J109" s="160">
        <f t="shared" si="24"/>
        <v>10994</v>
      </c>
      <c r="K109" s="171">
        <f t="shared" si="12"/>
        <v>24723</v>
      </c>
      <c r="L109" s="161">
        <f t="shared" si="25"/>
        <v>8886</v>
      </c>
      <c r="M109" s="127"/>
      <c r="N109" s="125">
        <v>58</v>
      </c>
      <c r="O109" s="159">
        <f t="shared" si="14"/>
        <v>25375</v>
      </c>
      <c r="P109" s="160">
        <f t="shared" si="26"/>
        <v>10878</v>
      </c>
      <c r="Q109" s="171">
        <f t="shared" si="16"/>
        <v>24857</v>
      </c>
      <c r="R109" s="173">
        <f t="shared" si="27"/>
        <v>9108</v>
      </c>
      <c r="S109" s="127"/>
      <c r="T109" s="125">
        <v>58</v>
      </c>
      <c r="U109" s="171">
        <f t="shared" si="18"/>
        <v>25375</v>
      </c>
      <c r="V109" s="160">
        <f t="shared" si="28"/>
        <v>10704</v>
      </c>
      <c r="W109" s="171">
        <f t="shared" si="20"/>
        <v>25096</v>
      </c>
      <c r="X109" s="173">
        <f t="shared" si="29"/>
        <v>9606</v>
      </c>
      <c r="Y109" s="127"/>
      <c r="Z109" s="128"/>
      <c r="AA109" s="92"/>
      <c r="AB109" s="92"/>
      <c r="AC109" s="93"/>
      <c r="AD109" s="92"/>
    </row>
    <row r="110" spans="2:30">
      <c r="B110" s="125">
        <v>59</v>
      </c>
      <c r="C110" s="159">
        <f t="shared" si="6"/>
        <v>25813</v>
      </c>
      <c r="D110" s="160">
        <f t="shared" si="22"/>
        <v>10215</v>
      </c>
      <c r="E110" s="159">
        <f t="shared" si="8"/>
        <v>25813</v>
      </c>
      <c r="F110" s="161">
        <f t="shared" si="23"/>
        <v>10215</v>
      </c>
      <c r="G110" s="128"/>
      <c r="H110" s="125">
        <v>59</v>
      </c>
      <c r="I110" s="159">
        <f t="shared" si="10"/>
        <v>25813</v>
      </c>
      <c r="J110" s="160">
        <f t="shared" si="24"/>
        <v>10687</v>
      </c>
      <c r="K110" s="171">
        <f t="shared" si="12"/>
        <v>25149</v>
      </c>
      <c r="L110" s="161">
        <f t="shared" si="25"/>
        <v>8553</v>
      </c>
      <c r="M110" s="127"/>
      <c r="N110" s="125">
        <v>59</v>
      </c>
      <c r="O110" s="159">
        <f t="shared" si="14"/>
        <v>25813</v>
      </c>
      <c r="P110" s="160">
        <f t="shared" si="26"/>
        <v>10569</v>
      </c>
      <c r="Q110" s="171">
        <f t="shared" si="16"/>
        <v>25286</v>
      </c>
      <c r="R110" s="173">
        <f t="shared" si="27"/>
        <v>8784</v>
      </c>
      <c r="S110" s="127"/>
      <c r="T110" s="125">
        <v>59</v>
      </c>
      <c r="U110" s="171">
        <f t="shared" si="18"/>
        <v>25813</v>
      </c>
      <c r="V110" s="160">
        <f t="shared" si="28"/>
        <v>10392</v>
      </c>
      <c r="W110" s="171">
        <f t="shared" si="20"/>
        <v>25529</v>
      </c>
      <c r="X110" s="173">
        <f t="shared" si="29"/>
        <v>9288</v>
      </c>
      <c r="Y110" s="127"/>
      <c r="Z110" s="128"/>
      <c r="AA110" s="92"/>
      <c r="AB110" s="92"/>
      <c r="AC110" s="93"/>
      <c r="AD110" s="92"/>
    </row>
    <row r="111" spans="2:30">
      <c r="B111" s="129">
        <v>60</v>
      </c>
      <c r="C111" s="162">
        <f t="shared" si="6"/>
        <v>26250</v>
      </c>
      <c r="D111" s="163">
        <f t="shared" si="22"/>
        <v>9900</v>
      </c>
      <c r="E111" s="162">
        <f t="shared" si="8"/>
        <v>26250</v>
      </c>
      <c r="F111" s="164">
        <f t="shared" si="23"/>
        <v>9900</v>
      </c>
      <c r="G111" s="128"/>
      <c r="H111" s="129">
        <v>60</v>
      </c>
      <c r="I111" s="162">
        <f t="shared" si="10"/>
        <v>26250</v>
      </c>
      <c r="J111" s="163">
        <f t="shared" si="24"/>
        <v>10380</v>
      </c>
      <c r="K111" s="180">
        <f t="shared" si="12"/>
        <v>25575</v>
      </c>
      <c r="L111" s="164">
        <f t="shared" si="25"/>
        <v>8220</v>
      </c>
      <c r="M111" s="127"/>
      <c r="N111" s="129">
        <v>60</v>
      </c>
      <c r="O111" s="162">
        <f t="shared" si="14"/>
        <v>26250</v>
      </c>
      <c r="P111" s="163">
        <f t="shared" si="26"/>
        <v>10260</v>
      </c>
      <c r="Q111" s="180">
        <f t="shared" si="16"/>
        <v>25714</v>
      </c>
      <c r="R111" s="187">
        <f t="shared" si="27"/>
        <v>8460</v>
      </c>
      <c r="S111" s="127"/>
      <c r="T111" s="129">
        <v>60</v>
      </c>
      <c r="U111" s="180">
        <f t="shared" si="18"/>
        <v>26250</v>
      </c>
      <c r="V111" s="163">
        <f t="shared" si="28"/>
        <v>10080</v>
      </c>
      <c r="W111" s="180">
        <f t="shared" si="20"/>
        <v>25962</v>
      </c>
      <c r="X111" s="187">
        <f t="shared" si="29"/>
        <v>8970</v>
      </c>
      <c r="Y111" s="127"/>
      <c r="Z111" s="128"/>
      <c r="AA111" s="92"/>
      <c r="AB111" s="92"/>
      <c r="AC111" s="93"/>
      <c r="AD111" s="92"/>
    </row>
    <row r="112" spans="2:30">
      <c r="B112" s="125">
        <v>61</v>
      </c>
      <c r="C112" s="159">
        <f t="shared" si="6"/>
        <v>26688</v>
      </c>
      <c r="D112" s="160">
        <f t="shared" si="22"/>
        <v>9585</v>
      </c>
      <c r="E112" s="159">
        <f t="shared" si="8"/>
        <v>26688</v>
      </c>
      <c r="F112" s="161">
        <f t="shared" si="23"/>
        <v>9585</v>
      </c>
      <c r="G112" s="128"/>
      <c r="H112" s="125">
        <v>61</v>
      </c>
      <c r="I112" s="159">
        <f t="shared" si="10"/>
        <v>26688</v>
      </c>
      <c r="J112" s="160">
        <f t="shared" si="24"/>
        <v>10073</v>
      </c>
      <c r="K112" s="171">
        <f t="shared" si="12"/>
        <v>26001</v>
      </c>
      <c r="L112" s="161">
        <f t="shared" si="25"/>
        <v>7887</v>
      </c>
      <c r="M112" s="127"/>
      <c r="N112" s="125">
        <v>61</v>
      </c>
      <c r="O112" s="159">
        <f t="shared" si="14"/>
        <v>26688</v>
      </c>
      <c r="P112" s="160">
        <f t="shared" si="26"/>
        <v>9951</v>
      </c>
      <c r="Q112" s="171">
        <f t="shared" si="16"/>
        <v>26143</v>
      </c>
      <c r="R112" s="173">
        <f t="shared" si="27"/>
        <v>8136</v>
      </c>
      <c r="S112" s="127"/>
      <c r="T112" s="125">
        <v>61</v>
      </c>
      <c r="U112" s="171">
        <f t="shared" si="18"/>
        <v>26688</v>
      </c>
      <c r="V112" s="160">
        <f t="shared" si="28"/>
        <v>9768</v>
      </c>
      <c r="W112" s="171">
        <f t="shared" si="20"/>
        <v>26394</v>
      </c>
      <c r="X112" s="173">
        <f t="shared" si="29"/>
        <v>8652</v>
      </c>
      <c r="Y112" s="127"/>
      <c r="Z112" s="128"/>
      <c r="AA112" s="92"/>
      <c r="AB112" s="92"/>
      <c r="AC112" s="93"/>
      <c r="AD112" s="92"/>
    </row>
    <row r="113" spans="2:30">
      <c r="B113" s="125">
        <v>62</v>
      </c>
      <c r="C113" s="159">
        <f t="shared" si="6"/>
        <v>27125</v>
      </c>
      <c r="D113" s="160">
        <f t="shared" si="22"/>
        <v>9270</v>
      </c>
      <c r="E113" s="159">
        <f t="shared" si="8"/>
        <v>27125</v>
      </c>
      <c r="F113" s="161">
        <f t="shared" si="23"/>
        <v>9270</v>
      </c>
      <c r="G113" s="128"/>
      <c r="H113" s="125">
        <v>62</v>
      </c>
      <c r="I113" s="159">
        <f t="shared" si="10"/>
        <v>27125</v>
      </c>
      <c r="J113" s="160">
        <f t="shared" si="24"/>
        <v>9766</v>
      </c>
      <c r="K113" s="171">
        <f t="shared" si="12"/>
        <v>26428</v>
      </c>
      <c r="L113" s="161">
        <f t="shared" si="25"/>
        <v>7554</v>
      </c>
      <c r="M113" s="127"/>
      <c r="N113" s="125">
        <v>62</v>
      </c>
      <c r="O113" s="159">
        <f t="shared" si="14"/>
        <v>27125</v>
      </c>
      <c r="P113" s="160">
        <f t="shared" si="26"/>
        <v>9642</v>
      </c>
      <c r="Q113" s="171">
        <f t="shared" si="16"/>
        <v>26571</v>
      </c>
      <c r="R113" s="173">
        <f t="shared" si="27"/>
        <v>7812</v>
      </c>
      <c r="S113" s="127"/>
      <c r="T113" s="125">
        <v>62</v>
      </c>
      <c r="U113" s="171">
        <f t="shared" si="18"/>
        <v>27125</v>
      </c>
      <c r="V113" s="160">
        <f t="shared" si="28"/>
        <v>9456</v>
      </c>
      <c r="W113" s="171">
        <f t="shared" si="20"/>
        <v>26827</v>
      </c>
      <c r="X113" s="173">
        <f t="shared" si="29"/>
        <v>8334</v>
      </c>
      <c r="Y113" s="127"/>
      <c r="Z113" s="128"/>
      <c r="AA113" s="92"/>
      <c r="AB113" s="92"/>
      <c r="AC113" s="93"/>
      <c r="AD113" s="92"/>
    </row>
    <row r="114" spans="2:30">
      <c r="B114" s="125">
        <v>63</v>
      </c>
      <c r="C114" s="159">
        <f t="shared" si="6"/>
        <v>27563</v>
      </c>
      <c r="D114" s="160">
        <f t="shared" si="22"/>
        <v>8955</v>
      </c>
      <c r="E114" s="159">
        <f t="shared" si="8"/>
        <v>27563</v>
      </c>
      <c r="F114" s="161">
        <f t="shared" si="23"/>
        <v>8955</v>
      </c>
      <c r="G114" s="128"/>
      <c r="H114" s="125">
        <v>63</v>
      </c>
      <c r="I114" s="159">
        <f t="shared" si="10"/>
        <v>27563</v>
      </c>
      <c r="J114" s="160">
        <f t="shared" si="24"/>
        <v>9459</v>
      </c>
      <c r="K114" s="171">
        <f t="shared" si="12"/>
        <v>26854</v>
      </c>
      <c r="L114" s="161">
        <f t="shared" si="25"/>
        <v>7221</v>
      </c>
      <c r="M114" s="127"/>
      <c r="N114" s="125">
        <v>63</v>
      </c>
      <c r="O114" s="159">
        <f t="shared" si="14"/>
        <v>27563</v>
      </c>
      <c r="P114" s="160">
        <f t="shared" si="26"/>
        <v>9333</v>
      </c>
      <c r="Q114" s="171">
        <f t="shared" si="16"/>
        <v>27000</v>
      </c>
      <c r="R114" s="173">
        <f t="shared" si="27"/>
        <v>7488</v>
      </c>
      <c r="S114" s="127"/>
      <c r="T114" s="125">
        <v>63</v>
      </c>
      <c r="U114" s="171">
        <f t="shared" si="18"/>
        <v>27563</v>
      </c>
      <c r="V114" s="160">
        <f t="shared" si="28"/>
        <v>9144</v>
      </c>
      <c r="W114" s="171">
        <f t="shared" si="20"/>
        <v>27260</v>
      </c>
      <c r="X114" s="173">
        <f t="shared" si="29"/>
        <v>8016</v>
      </c>
      <c r="Y114" s="127"/>
      <c r="Z114" s="128"/>
      <c r="AA114" s="92"/>
      <c r="AB114" s="92"/>
      <c r="AC114" s="93"/>
      <c r="AD114" s="92"/>
    </row>
    <row r="115" spans="2:30">
      <c r="B115" s="125">
        <v>64</v>
      </c>
      <c r="C115" s="159">
        <f t="shared" si="6"/>
        <v>28000</v>
      </c>
      <c r="D115" s="160">
        <f t="shared" si="22"/>
        <v>8640</v>
      </c>
      <c r="E115" s="159">
        <f t="shared" si="8"/>
        <v>28000</v>
      </c>
      <c r="F115" s="161">
        <f t="shared" si="23"/>
        <v>8640</v>
      </c>
      <c r="G115" s="128"/>
      <c r="H115" s="125">
        <v>64</v>
      </c>
      <c r="I115" s="159">
        <f t="shared" si="10"/>
        <v>28000</v>
      </c>
      <c r="J115" s="160">
        <f t="shared" si="24"/>
        <v>9152</v>
      </c>
      <c r="K115" s="171">
        <f t="shared" si="12"/>
        <v>27280</v>
      </c>
      <c r="L115" s="161">
        <f t="shared" si="25"/>
        <v>6888</v>
      </c>
      <c r="M115" s="127"/>
      <c r="N115" s="125">
        <v>64</v>
      </c>
      <c r="O115" s="159">
        <f t="shared" si="14"/>
        <v>28000</v>
      </c>
      <c r="P115" s="160">
        <f t="shared" si="26"/>
        <v>9024</v>
      </c>
      <c r="Q115" s="171">
        <f t="shared" si="16"/>
        <v>27429</v>
      </c>
      <c r="R115" s="173">
        <f t="shared" si="27"/>
        <v>7164</v>
      </c>
      <c r="S115" s="127"/>
      <c r="T115" s="125">
        <v>64</v>
      </c>
      <c r="U115" s="171">
        <f t="shared" si="18"/>
        <v>28000</v>
      </c>
      <c r="V115" s="160">
        <f t="shared" si="28"/>
        <v>8832</v>
      </c>
      <c r="W115" s="171">
        <f t="shared" si="20"/>
        <v>27692</v>
      </c>
      <c r="X115" s="173">
        <f t="shared" si="29"/>
        <v>7698</v>
      </c>
      <c r="Y115" s="127"/>
      <c r="Z115" s="128"/>
      <c r="AA115" s="92"/>
      <c r="AB115" s="92"/>
      <c r="AC115" s="93"/>
      <c r="AD115" s="92"/>
    </row>
    <row r="116" spans="2:30">
      <c r="B116" s="125">
        <v>65</v>
      </c>
      <c r="C116" s="159">
        <f t="shared" si="6"/>
        <v>28438</v>
      </c>
      <c r="D116" s="160">
        <f t="shared" si="22"/>
        <v>8325</v>
      </c>
      <c r="E116" s="159">
        <f t="shared" si="8"/>
        <v>28438</v>
      </c>
      <c r="F116" s="161">
        <f t="shared" si="23"/>
        <v>8325</v>
      </c>
      <c r="G116" s="128"/>
      <c r="H116" s="125">
        <v>65</v>
      </c>
      <c r="I116" s="159">
        <f t="shared" si="10"/>
        <v>28438</v>
      </c>
      <c r="J116" s="160">
        <f t="shared" si="24"/>
        <v>8845</v>
      </c>
      <c r="K116" s="171">
        <f t="shared" si="12"/>
        <v>27706</v>
      </c>
      <c r="L116" s="161">
        <f t="shared" si="25"/>
        <v>6555</v>
      </c>
      <c r="M116" s="127"/>
      <c r="N116" s="125">
        <v>65</v>
      </c>
      <c r="O116" s="159">
        <f t="shared" si="14"/>
        <v>28438</v>
      </c>
      <c r="P116" s="160">
        <f t="shared" si="26"/>
        <v>8715</v>
      </c>
      <c r="Q116" s="171">
        <f t="shared" si="16"/>
        <v>27857</v>
      </c>
      <c r="R116" s="173">
        <f t="shared" si="27"/>
        <v>6840</v>
      </c>
      <c r="S116" s="127"/>
      <c r="T116" s="125">
        <v>65</v>
      </c>
      <c r="U116" s="171">
        <f t="shared" si="18"/>
        <v>28438</v>
      </c>
      <c r="V116" s="160">
        <f t="shared" si="28"/>
        <v>8520</v>
      </c>
      <c r="W116" s="171">
        <f t="shared" si="20"/>
        <v>28125</v>
      </c>
      <c r="X116" s="173">
        <f t="shared" si="29"/>
        <v>7380</v>
      </c>
      <c r="Y116" s="127"/>
      <c r="Z116" s="128"/>
      <c r="AA116" s="92"/>
      <c r="AB116" s="92"/>
      <c r="AC116" s="93"/>
      <c r="AD116" s="92"/>
    </row>
    <row r="117" spans="2:30">
      <c r="B117" s="125">
        <v>66</v>
      </c>
      <c r="C117" s="159">
        <f t="shared" ref="C117:C151" si="30">ROUND(B117*$E$21,0)</f>
        <v>28875</v>
      </c>
      <c r="D117" s="160">
        <f t="shared" ref="D117:D151" si="31">ROUND(D116-($E$52-($E$52*$B$29%)),0)</f>
        <v>8010</v>
      </c>
      <c r="E117" s="159">
        <f t="shared" ref="E117:E151" si="32">ROUND(B117*$E$21,0)</f>
        <v>28875</v>
      </c>
      <c r="F117" s="161">
        <f t="shared" ref="F117:F151" si="33">ROUND(F116-($C$52-($C$52*$B$29%)),0)</f>
        <v>8010</v>
      </c>
      <c r="G117" s="128"/>
      <c r="H117" s="125">
        <v>66</v>
      </c>
      <c r="I117" s="159">
        <f t="shared" ref="I117:I151" si="34">ROUND(H117*$E$21,0)</f>
        <v>28875</v>
      </c>
      <c r="J117" s="160">
        <f t="shared" ref="J117:J151" si="35">ROUND(J116-($K$52-($K$52*$B$29%)),0)</f>
        <v>8538</v>
      </c>
      <c r="K117" s="171">
        <f t="shared" ref="K117:K151" si="36">ROUND(H117*$E$22,0)</f>
        <v>28133</v>
      </c>
      <c r="L117" s="161">
        <f t="shared" ref="L117:L151" si="37">ROUND(L116-($I$52-($I$52*$C$29%)),0)</f>
        <v>6222</v>
      </c>
      <c r="M117" s="127"/>
      <c r="N117" s="125">
        <v>66</v>
      </c>
      <c r="O117" s="159">
        <f t="shared" ref="O117:O151" si="38">ROUND(N117*$E$21,0)</f>
        <v>28875</v>
      </c>
      <c r="P117" s="160">
        <f t="shared" ref="P117:P151" si="39">ROUND(P116-($Q$52-($Q$52*$B$29%)),0)</f>
        <v>8406</v>
      </c>
      <c r="Q117" s="171">
        <f t="shared" ref="Q117:Q151" si="40">ROUND(N117*$E$23,0)</f>
        <v>28286</v>
      </c>
      <c r="R117" s="173">
        <f t="shared" ref="R117:R151" si="41">ROUND(R116-($O$52-($O$52*$D$29%)),0)</f>
        <v>6516</v>
      </c>
      <c r="S117" s="127"/>
      <c r="T117" s="125">
        <v>66</v>
      </c>
      <c r="U117" s="171">
        <f t="shared" ref="U117:U151" si="42">ROUND(T117*$E$21,0)</f>
        <v>28875</v>
      </c>
      <c r="V117" s="160">
        <f t="shared" ref="V117:V151" si="43">ROUND(V116-($W$52-($W$52*$B$29%)),0)</f>
        <v>8208</v>
      </c>
      <c r="W117" s="171">
        <f t="shared" ref="W117:W151" si="44">ROUND(T117*$E$24,0)</f>
        <v>28558</v>
      </c>
      <c r="X117" s="173">
        <f t="shared" ref="X117:X151" si="45">ROUND(X116-($U$52-($U$52*$E$29%)),0)</f>
        <v>7062</v>
      </c>
      <c r="Y117" s="127"/>
      <c r="Z117" s="128"/>
      <c r="AA117" s="92"/>
      <c r="AB117" s="92"/>
      <c r="AC117" s="93"/>
      <c r="AD117" s="92"/>
    </row>
    <row r="118" spans="2:30">
      <c r="B118" s="125">
        <v>67</v>
      </c>
      <c r="C118" s="159">
        <f t="shared" si="30"/>
        <v>29313</v>
      </c>
      <c r="D118" s="160">
        <f t="shared" si="31"/>
        <v>7695</v>
      </c>
      <c r="E118" s="159">
        <f t="shared" si="32"/>
        <v>29313</v>
      </c>
      <c r="F118" s="161">
        <f t="shared" si="33"/>
        <v>7695</v>
      </c>
      <c r="G118" s="128"/>
      <c r="H118" s="125">
        <v>67</v>
      </c>
      <c r="I118" s="159">
        <f t="shared" si="34"/>
        <v>29313</v>
      </c>
      <c r="J118" s="160">
        <f t="shared" si="35"/>
        <v>8231</v>
      </c>
      <c r="K118" s="171">
        <f t="shared" si="36"/>
        <v>28559</v>
      </c>
      <c r="L118" s="161">
        <f t="shared" si="37"/>
        <v>5889</v>
      </c>
      <c r="M118" s="127"/>
      <c r="N118" s="125">
        <v>67</v>
      </c>
      <c r="O118" s="159">
        <f t="shared" si="38"/>
        <v>29313</v>
      </c>
      <c r="P118" s="160">
        <f t="shared" si="39"/>
        <v>8097</v>
      </c>
      <c r="Q118" s="171">
        <f t="shared" si="40"/>
        <v>28714</v>
      </c>
      <c r="R118" s="173">
        <f t="shared" si="41"/>
        <v>6192</v>
      </c>
      <c r="S118" s="127"/>
      <c r="T118" s="125">
        <v>67</v>
      </c>
      <c r="U118" s="171">
        <f t="shared" si="42"/>
        <v>29313</v>
      </c>
      <c r="V118" s="160">
        <f t="shared" si="43"/>
        <v>7896</v>
      </c>
      <c r="W118" s="171">
        <f t="shared" si="44"/>
        <v>28990</v>
      </c>
      <c r="X118" s="173">
        <f t="shared" si="45"/>
        <v>6744</v>
      </c>
      <c r="Y118" s="127"/>
      <c r="Z118" s="128"/>
      <c r="AA118" s="92"/>
      <c r="AB118" s="92"/>
      <c r="AC118" s="93"/>
      <c r="AD118" s="92"/>
    </row>
    <row r="119" spans="2:30">
      <c r="B119" s="125">
        <v>68</v>
      </c>
      <c r="C119" s="159">
        <f t="shared" si="30"/>
        <v>29750</v>
      </c>
      <c r="D119" s="160">
        <f t="shared" si="31"/>
        <v>7380</v>
      </c>
      <c r="E119" s="159">
        <f t="shared" si="32"/>
        <v>29750</v>
      </c>
      <c r="F119" s="161">
        <f t="shared" si="33"/>
        <v>7380</v>
      </c>
      <c r="G119" s="128"/>
      <c r="H119" s="125">
        <v>68</v>
      </c>
      <c r="I119" s="159">
        <f t="shared" si="34"/>
        <v>29750</v>
      </c>
      <c r="J119" s="160">
        <f t="shared" si="35"/>
        <v>7924</v>
      </c>
      <c r="K119" s="171">
        <f t="shared" si="36"/>
        <v>28985</v>
      </c>
      <c r="L119" s="161">
        <f t="shared" si="37"/>
        <v>5556</v>
      </c>
      <c r="M119" s="127"/>
      <c r="N119" s="125">
        <v>68</v>
      </c>
      <c r="O119" s="159">
        <f t="shared" si="38"/>
        <v>29750</v>
      </c>
      <c r="P119" s="160">
        <f t="shared" si="39"/>
        <v>7788</v>
      </c>
      <c r="Q119" s="171">
        <f t="shared" si="40"/>
        <v>29143</v>
      </c>
      <c r="R119" s="173">
        <f t="shared" si="41"/>
        <v>5868</v>
      </c>
      <c r="S119" s="127"/>
      <c r="T119" s="125">
        <v>68</v>
      </c>
      <c r="U119" s="171">
        <f t="shared" si="42"/>
        <v>29750</v>
      </c>
      <c r="V119" s="160">
        <f t="shared" si="43"/>
        <v>7584</v>
      </c>
      <c r="W119" s="171">
        <f t="shared" si="44"/>
        <v>29423</v>
      </c>
      <c r="X119" s="173">
        <f t="shared" si="45"/>
        <v>6426</v>
      </c>
      <c r="Y119" s="127"/>
      <c r="Z119" s="128"/>
      <c r="AA119" s="92"/>
      <c r="AB119" s="92"/>
      <c r="AC119" s="93"/>
      <c r="AD119" s="92"/>
    </row>
    <row r="120" spans="2:30">
      <c r="B120" s="125">
        <v>69</v>
      </c>
      <c r="C120" s="159">
        <f t="shared" si="30"/>
        <v>30188</v>
      </c>
      <c r="D120" s="160">
        <f t="shared" si="31"/>
        <v>7065</v>
      </c>
      <c r="E120" s="159">
        <f t="shared" si="32"/>
        <v>30188</v>
      </c>
      <c r="F120" s="161">
        <f t="shared" si="33"/>
        <v>7065</v>
      </c>
      <c r="G120" s="128"/>
      <c r="H120" s="125">
        <v>69</v>
      </c>
      <c r="I120" s="159">
        <f t="shared" si="34"/>
        <v>30188</v>
      </c>
      <c r="J120" s="160">
        <f t="shared" si="35"/>
        <v>7617</v>
      </c>
      <c r="K120" s="171">
        <f t="shared" si="36"/>
        <v>29411</v>
      </c>
      <c r="L120" s="161">
        <f t="shared" si="37"/>
        <v>5223</v>
      </c>
      <c r="M120" s="127"/>
      <c r="N120" s="125">
        <v>69</v>
      </c>
      <c r="O120" s="159">
        <f t="shared" si="38"/>
        <v>30188</v>
      </c>
      <c r="P120" s="160">
        <f t="shared" si="39"/>
        <v>7479</v>
      </c>
      <c r="Q120" s="171">
        <f t="shared" si="40"/>
        <v>29571</v>
      </c>
      <c r="R120" s="173">
        <f t="shared" si="41"/>
        <v>5544</v>
      </c>
      <c r="S120" s="127"/>
      <c r="T120" s="125">
        <v>69</v>
      </c>
      <c r="U120" s="171">
        <f t="shared" si="42"/>
        <v>30188</v>
      </c>
      <c r="V120" s="160">
        <f t="shared" si="43"/>
        <v>7272</v>
      </c>
      <c r="W120" s="171">
        <f t="shared" si="44"/>
        <v>29856</v>
      </c>
      <c r="X120" s="173">
        <f t="shared" si="45"/>
        <v>6108</v>
      </c>
      <c r="Y120" s="127"/>
      <c r="Z120" s="128"/>
      <c r="AA120" s="92"/>
      <c r="AB120" s="92"/>
      <c r="AC120" s="93"/>
      <c r="AD120" s="92"/>
    </row>
    <row r="121" spans="2:30">
      <c r="B121" s="129">
        <v>70</v>
      </c>
      <c r="C121" s="162">
        <f t="shared" si="30"/>
        <v>30625</v>
      </c>
      <c r="D121" s="163">
        <f t="shared" si="31"/>
        <v>6750</v>
      </c>
      <c r="E121" s="162">
        <f t="shared" si="32"/>
        <v>30625</v>
      </c>
      <c r="F121" s="164">
        <f t="shared" si="33"/>
        <v>6750</v>
      </c>
      <c r="G121" s="128"/>
      <c r="H121" s="129">
        <v>70</v>
      </c>
      <c r="I121" s="162">
        <f t="shared" si="34"/>
        <v>30625</v>
      </c>
      <c r="J121" s="163">
        <f t="shared" si="35"/>
        <v>7310</v>
      </c>
      <c r="K121" s="180">
        <f t="shared" si="36"/>
        <v>29838</v>
      </c>
      <c r="L121" s="164">
        <f t="shared" si="37"/>
        <v>4890</v>
      </c>
      <c r="M121" s="127"/>
      <c r="N121" s="129">
        <v>70</v>
      </c>
      <c r="O121" s="162">
        <f t="shared" si="38"/>
        <v>30625</v>
      </c>
      <c r="P121" s="163">
        <f t="shared" si="39"/>
        <v>7170</v>
      </c>
      <c r="Q121" s="180">
        <f t="shared" si="40"/>
        <v>30000</v>
      </c>
      <c r="R121" s="187">
        <f t="shared" si="41"/>
        <v>5220</v>
      </c>
      <c r="S121" s="127"/>
      <c r="T121" s="129">
        <v>70</v>
      </c>
      <c r="U121" s="180">
        <f t="shared" si="42"/>
        <v>30625</v>
      </c>
      <c r="V121" s="163">
        <f t="shared" si="43"/>
        <v>6960</v>
      </c>
      <c r="W121" s="180">
        <f t="shared" si="44"/>
        <v>30288</v>
      </c>
      <c r="X121" s="187">
        <f t="shared" si="45"/>
        <v>5790</v>
      </c>
      <c r="Y121" s="127"/>
      <c r="Z121" s="128"/>
      <c r="AA121" s="92"/>
      <c r="AB121" s="92"/>
      <c r="AC121" s="93"/>
      <c r="AD121" s="92"/>
    </row>
    <row r="122" spans="2:30">
      <c r="B122" s="125">
        <v>71</v>
      </c>
      <c r="C122" s="159">
        <f t="shared" si="30"/>
        <v>31063</v>
      </c>
      <c r="D122" s="160">
        <f t="shared" si="31"/>
        <v>6435</v>
      </c>
      <c r="E122" s="159">
        <f t="shared" si="32"/>
        <v>31063</v>
      </c>
      <c r="F122" s="161">
        <f t="shared" si="33"/>
        <v>6435</v>
      </c>
      <c r="G122" s="128"/>
      <c r="H122" s="125">
        <v>71</v>
      </c>
      <c r="I122" s="159">
        <f t="shared" si="34"/>
        <v>31063</v>
      </c>
      <c r="J122" s="160">
        <f t="shared" si="35"/>
        <v>7003</v>
      </c>
      <c r="K122" s="171">
        <f t="shared" si="36"/>
        <v>30264</v>
      </c>
      <c r="L122" s="161">
        <f t="shared" si="37"/>
        <v>4557</v>
      </c>
      <c r="M122" s="127"/>
      <c r="N122" s="125">
        <v>71</v>
      </c>
      <c r="O122" s="159">
        <f t="shared" si="38"/>
        <v>31063</v>
      </c>
      <c r="P122" s="160">
        <f t="shared" si="39"/>
        <v>6861</v>
      </c>
      <c r="Q122" s="171">
        <f t="shared" si="40"/>
        <v>30429</v>
      </c>
      <c r="R122" s="173">
        <f t="shared" si="41"/>
        <v>4896</v>
      </c>
      <c r="S122" s="127"/>
      <c r="T122" s="125">
        <v>71</v>
      </c>
      <c r="U122" s="171">
        <f t="shared" si="42"/>
        <v>31063</v>
      </c>
      <c r="V122" s="160">
        <f t="shared" si="43"/>
        <v>6648</v>
      </c>
      <c r="W122" s="171">
        <f t="shared" si="44"/>
        <v>30721</v>
      </c>
      <c r="X122" s="173">
        <f t="shared" si="45"/>
        <v>5472</v>
      </c>
      <c r="Y122" s="127"/>
      <c r="Z122" s="128"/>
      <c r="AA122" s="92"/>
      <c r="AB122" s="92"/>
      <c r="AC122" s="93"/>
      <c r="AD122" s="92"/>
    </row>
    <row r="123" spans="2:30">
      <c r="B123" s="125">
        <v>72</v>
      </c>
      <c r="C123" s="159">
        <f t="shared" si="30"/>
        <v>31500</v>
      </c>
      <c r="D123" s="160">
        <f t="shared" si="31"/>
        <v>6120</v>
      </c>
      <c r="E123" s="159">
        <f t="shared" si="32"/>
        <v>31500</v>
      </c>
      <c r="F123" s="161">
        <f t="shared" si="33"/>
        <v>6120</v>
      </c>
      <c r="G123" s="128"/>
      <c r="H123" s="125">
        <v>72</v>
      </c>
      <c r="I123" s="159">
        <f t="shared" si="34"/>
        <v>31500</v>
      </c>
      <c r="J123" s="160">
        <f t="shared" si="35"/>
        <v>6696</v>
      </c>
      <c r="K123" s="171">
        <f t="shared" si="36"/>
        <v>30690</v>
      </c>
      <c r="L123" s="161">
        <f t="shared" si="37"/>
        <v>4224</v>
      </c>
      <c r="M123" s="127"/>
      <c r="N123" s="125">
        <v>72</v>
      </c>
      <c r="O123" s="159">
        <f t="shared" si="38"/>
        <v>31500</v>
      </c>
      <c r="P123" s="160">
        <f t="shared" si="39"/>
        <v>6552</v>
      </c>
      <c r="Q123" s="171">
        <f t="shared" si="40"/>
        <v>30857</v>
      </c>
      <c r="R123" s="173">
        <f t="shared" si="41"/>
        <v>4572</v>
      </c>
      <c r="S123" s="127"/>
      <c r="T123" s="125">
        <v>72</v>
      </c>
      <c r="U123" s="171">
        <f t="shared" si="42"/>
        <v>31500</v>
      </c>
      <c r="V123" s="160">
        <f t="shared" si="43"/>
        <v>6336</v>
      </c>
      <c r="W123" s="171">
        <f t="shared" si="44"/>
        <v>31154</v>
      </c>
      <c r="X123" s="173">
        <f t="shared" si="45"/>
        <v>5154</v>
      </c>
      <c r="Y123" s="127"/>
      <c r="Z123" s="128"/>
      <c r="AA123" s="92"/>
      <c r="AB123" s="92"/>
      <c r="AC123" s="93"/>
      <c r="AD123" s="92"/>
    </row>
    <row r="124" spans="2:30">
      <c r="B124" s="125">
        <v>73</v>
      </c>
      <c r="C124" s="159">
        <f t="shared" si="30"/>
        <v>31938</v>
      </c>
      <c r="D124" s="160">
        <f t="shared" si="31"/>
        <v>5805</v>
      </c>
      <c r="E124" s="159">
        <f t="shared" si="32"/>
        <v>31938</v>
      </c>
      <c r="F124" s="161">
        <f t="shared" si="33"/>
        <v>5805</v>
      </c>
      <c r="G124" s="128"/>
      <c r="H124" s="125">
        <v>73</v>
      </c>
      <c r="I124" s="159">
        <f t="shared" si="34"/>
        <v>31938</v>
      </c>
      <c r="J124" s="160">
        <f t="shared" si="35"/>
        <v>6389</v>
      </c>
      <c r="K124" s="171">
        <f t="shared" si="36"/>
        <v>31116</v>
      </c>
      <c r="L124" s="161">
        <f t="shared" si="37"/>
        <v>3891</v>
      </c>
      <c r="M124" s="127"/>
      <c r="N124" s="125">
        <v>73</v>
      </c>
      <c r="O124" s="159">
        <f t="shared" si="38"/>
        <v>31938</v>
      </c>
      <c r="P124" s="160">
        <f t="shared" si="39"/>
        <v>6243</v>
      </c>
      <c r="Q124" s="171">
        <f t="shared" si="40"/>
        <v>31286</v>
      </c>
      <c r="R124" s="173">
        <f t="shared" si="41"/>
        <v>4248</v>
      </c>
      <c r="S124" s="127"/>
      <c r="T124" s="125">
        <v>73</v>
      </c>
      <c r="U124" s="171">
        <f t="shared" si="42"/>
        <v>31938</v>
      </c>
      <c r="V124" s="160">
        <f t="shared" si="43"/>
        <v>6024</v>
      </c>
      <c r="W124" s="171">
        <f t="shared" si="44"/>
        <v>31587</v>
      </c>
      <c r="X124" s="173">
        <f t="shared" si="45"/>
        <v>4836</v>
      </c>
      <c r="Y124" s="127"/>
      <c r="Z124" s="128"/>
      <c r="AA124" s="92"/>
      <c r="AB124" s="92"/>
      <c r="AC124" s="93"/>
      <c r="AD124" s="92"/>
    </row>
    <row r="125" spans="2:30">
      <c r="B125" s="125">
        <v>74</v>
      </c>
      <c r="C125" s="159">
        <f t="shared" si="30"/>
        <v>32375</v>
      </c>
      <c r="D125" s="160">
        <f t="shared" si="31"/>
        <v>5490</v>
      </c>
      <c r="E125" s="159">
        <f t="shared" si="32"/>
        <v>32375</v>
      </c>
      <c r="F125" s="161">
        <f t="shared" si="33"/>
        <v>5490</v>
      </c>
      <c r="G125" s="128"/>
      <c r="H125" s="125">
        <v>74</v>
      </c>
      <c r="I125" s="159">
        <f t="shared" si="34"/>
        <v>32375</v>
      </c>
      <c r="J125" s="160">
        <f t="shared" si="35"/>
        <v>6082</v>
      </c>
      <c r="K125" s="171">
        <f t="shared" si="36"/>
        <v>31543</v>
      </c>
      <c r="L125" s="161">
        <f t="shared" si="37"/>
        <v>3558</v>
      </c>
      <c r="M125" s="127"/>
      <c r="N125" s="125">
        <v>74</v>
      </c>
      <c r="O125" s="159">
        <f t="shared" si="38"/>
        <v>32375</v>
      </c>
      <c r="P125" s="160">
        <f t="shared" si="39"/>
        <v>5934</v>
      </c>
      <c r="Q125" s="171">
        <f t="shared" si="40"/>
        <v>31714</v>
      </c>
      <c r="R125" s="173">
        <f t="shared" si="41"/>
        <v>3924</v>
      </c>
      <c r="S125" s="127"/>
      <c r="T125" s="125">
        <v>74</v>
      </c>
      <c r="U125" s="171">
        <f t="shared" si="42"/>
        <v>32375</v>
      </c>
      <c r="V125" s="160">
        <f t="shared" si="43"/>
        <v>5712</v>
      </c>
      <c r="W125" s="171">
        <f t="shared" si="44"/>
        <v>32019</v>
      </c>
      <c r="X125" s="173">
        <f t="shared" si="45"/>
        <v>4518</v>
      </c>
      <c r="Y125" s="127"/>
      <c r="Z125" s="128"/>
      <c r="AA125" s="92"/>
      <c r="AB125" s="92"/>
      <c r="AC125" s="93"/>
      <c r="AD125" s="92"/>
    </row>
    <row r="126" spans="2:30">
      <c r="B126" s="125">
        <v>75</v>
      </c>
      <c r="C126" s="159">
        <f t="shared" si="30"/>
        <v>32813</v>
      </c>
      <c r="D126" s="160">
        <f t="shared" si="31"/>
        <v>5175</v>
      </c>
      <c r="E126" s="159">
        <f t="shared" si="32"/>
        <v>32813</v>
      </c>
      <c r="F126" s="161">
        <f t="shared" si="33"/>
        <v>5175</v>
      </c>
      <c r="G126" s="128"/>
      <c r="H126" s="125">
        <v>75</v>
      </c>
      <c r="I126" s="159">
        <f t="shared" si="34"/>
        <v>32813</v>
      </c>
      <c r="J126" s="160">
        <f t="shared" si="35"/>
        <v>5775</v>
      </c>
      <c r="K126" s="171">
        <f t="shared" si="36"/>
        <v>31969</v>
      </c>
      <c r="L126" s="161">
        <f t="shared" si="37"/>
        <v>3225</v>
      </c>
      <c r="M126" s="127"/>
      <c r="N126" s="125">
        <v>75</v>
      </c>
      <c r="O126" s="159">
        <f t="shared" si="38"/>
        <v>32813</v>
      </c>
      <c r="P126" s="160">
        <f t="shared" si="39"/>
        <v>5625</v>
      </c>
      <c r="Q126" s="171">
        <f t="shared" si="40"/>
        <v>32143</v>
      </c>
      <c r="R126" s="173">
        <f t="shared" si="41"/>
        <v>3600</v>
      </c>
      <c r="S126" s="127"/>
      <c r="T126" s="125">
        <v>75</v>
      </c>
      <c r="U126" s="171">
        <f t="shared" si="42"/>
        <v>32813</v>
      </c>
      <c r="V126" s="160">
        <f t="shared" si="43"/>
        <v>5400</v>
      </c>
      <c r="W126" s="171">
        <f t="shared" si="44"/>
        <v>32452</v>
      </c>
      <c r="X126" s="173">
        <f t="shared" si="45"/>
        <v>4200</v>
      </c>
      <c r="Y126" s="127"/>
      <c r="Z126" s="128"/>
      <c r="AA126" s="92"/>
      <c r="AB126" s="92"/>
      <c r="AC126" s="93"/>
      <c r="AD126" s="92"/>
    </row>
    <row r="127" spans="2:30">
      <c r="B127" s="125">
        <v>76</v>
      </c>
      <c r="C127" s="159">
        <f t="shared" si="30"/>
        <v>33250</v>
      </c>
      <c r="D127" s="160">
        <f t="shared" si="31"/>
        <v>4860</v>
      </c>
      <c r="E127" s="159">
        <f t="shared" si="32"/>
        <v>33250</v>
      </c>
      <c r="F127" s="161">
        <f t="shared" si="33"/>
        <v>4860</v>
      </c>
      <c r="G127" s="128"/>
      <c r="H127" s="125">
        <v>76</v>
      </c>
      <c r="I127" s="159">
        <f t="shared" si="34"/>
        <v>33250</v>
      </c>
      <c r="J127" s="160">
        <f t="shared" si="35"/>
        <v>5468</v>
      </c>
      <c r="K127" s="171">
        <f t="shared" si="36"/>
        <v>32395</v>
      </c>
      <c r="L127" s="161">
        <f t="shared" si="37"/>
        <v>2892</v>
      </c>
      <c r="M127" s="127"/>
      <c r="N127" s="125">
        <v>76</v>
      </c>
      <c r="O127" s="159">
        <f t="shared" si="38"/>
        <v>33250</v>
      </c>
      <c r="P127" s="160">
        <f t="shared" si="39"/>
        <v>5316</v>
      </c>
      <c r="Q127" s="171">
        <f t="shared" si="40"/>
        <v>32571</v>
      </c>
      <c r="R127" s="173">
        <f t="shared" si="41"/>
        <v>3276</v>
      </c>
      <c r="S127" s="127"/>
      <c r="T127" s="125">
        <v>76</v>
      </c>
      <c r="U127" s="171">
        <f t="shared" si="42"/>
        <v>33250</v>
      </c>
      <c r="V127" s="160">
        <f t="shared" si="43"/>
        <v>5088</v>
      </c>
      <c r="W127" s="171">
        <f t="shared" si="44"/>
        <v>32885</v>
      </c>
      <c r="X127" s="173">
        <f t="shared" si="45"/>
        <v>3882</v>
      </c>
      <c r="Y127" s="127"/>
      <c r="Z127" s="128"/>
      <c r="AA127" s="92"/>
      <c r="AB127" s="92"/>
      <c r="AC127" s="93"/>
      <c r="AD127" s="92"/>
    </row>
    <row r="128" spans="2:30">
      <c r="B128" s="125">
        <v>77</v>
      </c>
      <c r="C128" s="159">
        <f t="shared" si="30"/>
        <v>33688</v>
      </c>
      <c r="D128" s="160">
        <f t="shared" si="31"/>
        <v>4545</v>
      </c>
      <c r="E128" s="159">
        <f t="shared" si="32"/>
        <v>33688</v>
      </c>
      <c r="F128" s="161">
        <f t="shared" si="33"/>
        <v>4545</v>
      </c>
      <c r="G128" s="128"/>
      <c r="H128" s="125">
        <v>77</v>
      </c>
      <c r="I128" s="159">
        <f t="shared" si="34"/>
        <v>33688</v>
      </c>
      <c r="J128" s="160">
        <f t="shared" si="35"/>
        <v>5161</v>
      </c>
      <c r="K128" s="171">
        <f t="shared" si="36"/>
        <v>32821</v>
      </c>
      <c r="L128" s="161">
        <f t="shared" si="37"/>
        <v>2559</v>
      </c>
      <c r="M128" s="127"/>
      <c r="N128" s="125">
        <v>77</v>
      </c>
      <c r="O128" s="159">
        <f t="shared" si="38"/>
        <v>33688</v>
      </c>
      <c r="P128" s="160">
        <f t="shared" si="39"/>
        <v>5007</v>
      </c>
      <c r="Q128" s="171">
        <f t="shared" si="40"/>
        <v>33000</v>
      </c>
      <c r="R128" s="173">
        <f t="shared" si="41"/>
        <v>2952</v>
      </c>
      <c r="S128" s="127"/>
      <c r="T128" s="125">
        <v>77</v>
      </c>
      <c r="U128" s="171">
        <f t="shared" si="42"/>
        <v>33688</v>
      </c>
      <c r="V128" s="160">
        <f t="shared" si="43"/>
        <v>4776</v>
      </c>
      <c r="W128" s="171">
        <f t="shared" si="44"/>
        <v>33317</v>
      </c>
      <c r="X128" s="173">
        <f t="shared" si="45"/>
        <v>3564</v>
      </c>
      <c r="Y128" s="127"/>
      <c r="Z128" s="128"/>
      <c r="AA128" s="92"/>
      <c r="AB128" s="92"/>
      <c r="AC128" s="93"/>
      <c r="AD128" s="92"/>
    </row>
    <row r="129" spans="2:30">
      <c r="B129" s="125">
        <v>78</v>
      </c>
      <c r="C129" s="159">
        <f t="shared" si="30"/>
        <v>34125</v>
      </c>
      <c r="D129" s="160">
        <f t="shared" si="31"/>
        <v>4230</v>
      </c>
      <c r="E129" s="159">
        <f t="shared" si="32"/>
        <v>34125</v>
      </c>
      <c r="F129" s="161">
        <f t="shared" si="33"/>
        <v>4230</v>
      </c>
      <c r="G129" s="128"/>
      <c r="H129" s="125">
        <v>78</v>
      </c>
      <c r="I129" s="159">
        <f t="shared" si="34"/>
        <v>34125</v>
      </c>
      <c r="J129" s="160">
        <f t="shared" si="35"/>
        <v>4854</v>
      </c>
      <c r="K129" s="171">
        <f t="shared" si="36"/>
        <v>33248</v>
      </c>
      <c r="L129" s="161">
        <f t="shared" si="37"/>
        <v>2226</v>
      </c>
      <c r="M129" s="127"/>
      <c r="N129" s="125">
        <v>78</v>
      </c>
      <c r="O129" s="159">
        <f t="shared" si="38"/>
        <v>34125</v>
      </c>
      <c r="P129" s="160">
        <f t="shared" si="39"/>
        <v>4698</v>
      </c>
      <c r="Q129" s="171">
        <f t="shared" si="40"/>
        <v>33429</v>
      </c>
      <c r="R129" s="173">
        <f t="shared" si="41"/>
        <v>2628</v>
      </c>
      <c r="S129" s="127"/>
      <c r="T129" s="125">
        <v>78</v>
      </c>
      <c r="U129" s="171">
        <f t="shared" si="42"/>
        <v>34125</v>
      </c>
      <c r="V129" s="160">
        <f t="shared" si="43"/>
        <v>4464</v>
      </c>
      <c r="W129" s="171">
        <f t="shared" si="44"/>
        <v>33750</v>
      </c>
      <c r="X129" s="173">
        <f t="shared" si="45"/>
        <v>3246</v>
      </c>
      <c r="Y129" s="127"/>
      <c r="Z129" s="128"/>
      <c r="AA129" s="92"/>
      <c r="AB129" s="92"/>
      <c r="AC129" s="93"/>
      <c r="AD129" s="92"/>
    </row>
    <row r="130" spans="2:30">
      <c r="B130" s="125">
        <v>79</v>
      </c>
      <c r="C130" s="159">
        <f t="shared" si="30"/>
        <v>34563</v>
      </c>
      <c r="D130" s="160">
        <f t="shared" si="31"/>
        <v>3915</v>
      </c>
      <c r="E130" s="159">
        <f t="shared" si="32"/>
        <v>34563</v>
      </c>
      <c r="F130" s="161">
        <f t="shared" si="33"/>
        <v>3915</v>
      </c>
      <c r="G130" s="128"/>
      <c r="H130" s="125">
        <v>79</v>
      </c>
      <c r="I130" s="159">
        <f t="shared" si="34"/>
        <v>34563</v>
      </c>
      <c r="J130" s="160">
        <f t="shared" si="35"/>
        <v>4547</v>
      </c>
      <c r="K130" s="171">
        <f t="shared" si="36"/>
        <v>33674</v>
      </c>
      <c r="L130" s="161">
        <f t="shared" si="37"/>
        <v>1893</v>
      </c>
      <c r="M130" s="127"/>
      <c r="N130" s="125">
        <v>79</v>
      </c>
      <c r="O130" s="159">
        <f t="shared" si="38"/>
        <v>34563</v>
      </c>
      <c r="P130" s="160">
        <f t="shared" si="39"/>
        <v>4389</v>
      </c>
      <c r="Q130" s="171">
        <f t="shared" si="40"/>
        <v>33857</v>
      </c>
      <c r="R130" s="173">
        <f t="shared" si="41"/>
        <v>2304</v>
      </c>
      <c r="S130" s="127"/>
      <c r="T130" s="125">
        <v>79</v>
      </c>
      <c r="U130" s="171">
        <f t="shared" si="42"/>
        <v>34563</v>
      </c>
      <c r="V130" s="160">
        <f t="shared" si="43"/>
        <v>4152</v>
      </c>
      <c r="W130" s="171">
        <f t="shared" si="44"/>
        <v>34183</v>
      </c>
      <c r="X130" s="173">
        <f t="shared" si="45"/>
        <v>2928</v>
      </c>
      <c r="Y130" s="127"/>
      <c r="Z130" s="128"/>
      <c r="AA130" s="92"/>
      <c r="AB130" s="92"/>
      <c r="AC130" s="93"/>
      <c r="AD130" s="92"/>
    </row>
    <row r="131" spans="2:30">
      <c r="B131" s="129">
        <v>80</v>
      </c>
      <c r="C131" s="162">
        <f t="shared" si="30"/>
        <v>35000</v>
      </c>
      <c r="D131" s="163">
        <f t="shared" si="31"/>
        <v>3600</v>
      </c>
      <c r="E131" s="162">
        <f t="shared" si="32"/>
        <v>35000</v>
      </c>
      <c r="F131" s="164">
        <f t="shared" si="33"/>
        <v>3600</v>
      </c>
      <c r="G131" s="128"/>
      <c r="H131" s="129">
        <v>80</v>
      </c>
      <c r="I131" s="162">
        <f t="shared" si="34"/>
        <v>35000</v>
      </c>
      <c r="J131" s="163">
        <f t="shared" si="35"/>
        <v>4240</v>
      </c>
      <c r="K131" s="180">
        <f t="shared" si="36"/>
        <v>34100</v>
      </c>
      <c r="L131" s="164">
        <f t="shared" si="37"/>
        <v>1560</v>
      </c>
      <c r="M131" s="127"/>
      <c r="N131" s="129">
        <v>80</v>
      </c>
      <c r="O131" s="162">
        <f t="shared" si="38"/>
        <v>35000</v>
      </c>
      <c r="P131" s="163">
        <f t="shared" si="39"/>
        <v>4080</v>
      </c>
      <c r="Q131" s="180">
        <f t="shared" si="40"/>
        <v>34286</v>
      </c>
      <c r="R131" s="187">
        <f t="shared" si="41"/>
        <v>1980</v>
      </c>
      <c r="S131" s="127"/>
      <c r="T131" s="129">
        <v>80</v>
      </c>
      <c r="U131" s="180">
        <f t="shared" si="42"/>
        <v>35000</v>
      </c>
      <c r="V131" s="163">
        <f t="shared" si="43"/>
        <v>3840</v>
      </c>
      <c r="W131" s="180">
        <f t="shared" si="44"/>
        <v>34615</v>
      </c>
      <c r="X131" s="187">
        <f t="shared" si="45"/>
        <v>2610</v>
      </c>
      <c r="Y131" s="127"/>
      <c r="Z131" s="128"/>
      <c r="AA131" s="92"/>
      <c r="AB131" s="92"/>
      <c r="AC131" s="93"/>
      <c r="AD131" s="92"/>
    </row>
    <row r="132" spans="2:30">
      <c r="B132" s="125">
        <v>81</v>
      </c>
      <c r="C132" s="159">
        <f t="shared" si="30"/>
        <v>35438</v>
      </c>
      <c r="D132" s="160">
        <f t="shared" si="31"/>
        <v>3285</v>
      </c>
      <c r="E132" s="159">
        <f t="shared" si="32"/>
        <v>35438</v>
      </c>
      <c r="F132" s="161">
        <f t="shared" si="33"/>
        <v>3285</v>
      </c>
      <c r="G132" s="128"/>
      <c r="H132" s="125">
        <v>81</v>
      </c>
      <c r="I132" s="159">
        <f t="shared" si="34"/>
        <v>35438</v>
      </c>
      <c r="J132" s="160">
        <f t="shared" si="35"/>
        <v>3933</v>
      </c>
      <c r="K132" s="171">
        <f t="shared" si="36"/>
        <v>34526</v>
      </c>
      <c r="L132" s="161">
        <f t="shared" si="37"/>
        <v>1227</v>
      </c>
      <c r="M132" s="127"/>
      <c r="N132" s="125">
        <v>81</v>
      </c>
      <c r="O132" s="159">
        <f t="shared" si="38"/>
        <v>35438</v>
      </c>
      <c r="P132" s="160">
        <f t="shared" si="39"/>
        <v>3771</v>
      </c>
      <c r="Q132" s="171">
        <f t="shared" si="40"/>
        <v>34714</v>
      </c>
      <c r="R132" s="173">
        <f t="shared" si="41"/>
        <v>1656</v>
      </c>
      <c r="S132" s="127"/>
      <c r="T132" s="125">
        <v>81</v>
      </c>
      <c r="U132" s="171">
        <f t="shared" si="42"/>
        <v>35438</v>
      </c>
      <c r="V132" s="160">
        <f t="shared" si="43"/>
        <v>3528</v>
      </c>
      <c r="W132" s="171">
        <f t="shared" si="44"/>
        <v>35048</v>
      </c>
      <c r="X132" s="173">
        <f t="shared" si="45"/>
        <v>2292</v>
      </c>
      <c r="Y132" s="127"/>
      <c r="Z132" s="128"/>
      <c r="AA132" s="92"/>
      <c r="AB132" s="92"/>
      <c r="AC132" s="93"/>
      <c r="AD132" s="92"/>
    </row>
    <row r="133" spans="2:30">
      <c r="B133" s="125">
        <v>82</v>
      </c>
      <c r="C133" s="159">
        <f t="shared" si="30"/>
        <v>35875</v>
      </c>
      <c r="D133" s="160">
        <f t="shared" si="31"/>
        <v>2970</v>
      </c>
      <c r="E133" s="159">
        <f t="shared" si="32"/>
        <v>35875</v>
      </c>
      <c r="F133" s="161">
        <f t="shared" si="33"/>
        <v>2970</v>
      </c>
      <c r="G133" s="128"/>
      <c r="H133" s="125">
        <v>82</v>
      </c>
      <c r="I133" s="159">
        <f t="shared" si="34"/>
        <v>35875</v>
      </c>
      <c r="J133" s="160">
        <f t="shared" si="35"/>
        <v>3626</v>
      </c>
      <c r="K133" s="171">
        <f t="shared" si="36"/>
        <v>34953</v>
      </c>
      <c r="L133" s="161">
        <f t="shared" si="37"/>
        <v>894</v>
      </c>
      <c r="M133" s="127"/>
      <c r="N133" s="125">
        <v>82</v>
      </c>
      <c r="O133" s="159">
        <f t="shared" si="38"/>
        <v>35875</v>
      </c>
      <c r="P133" s="160">
        <f t="shared" si="39"/>
        <v>3462</v>
      </c>
      <c r="Q133" s="171">
        <f t="shared" si="40"/>
        <v>35143</v>
      </c>
      <c r="R133" s="173">
        <f t="shared" si="41"/>
        <v>1332</v>
      </c>
      <c r="S133" s="127"/>
      <c r="T133" s="125">
        <v>82</v>
      </c>
      <c r="U133" s="171">
        <f t="shared" si="42"/>
        <v>35875</v>
      </c>
      <c r="V133" s="160">
        <f t="shared" si="43"/>
        <v>3216</v>
      </c>
      <c r="W133" s="171">
        <f t="shared" si="44"/>
        <v>35481</v>
      </c>
      <c r="X133" s="173">
        <f t="shared" si="45"/>
        <v>1974</v>
      </c>
      <c r="Y133" s="127"/>
      <c r="Z133" s="128"/>
      <c r="AA133" s="92"/>
      <c r="AB133" s="92"/>
      <c r="AC133" s="93"/>
      <c r="AD133" s="92"/>
    </row>
    <row r="134" spans="2:30">
      <c r="B134" s="125">
        <v>83</v>
      </c>
      <c r="C134" s="159">
        <f t="shared" si="30"/>
        <v>36313</v>
      </c>
      <c r="D134" s="160">
        <f t="shared" si="31"/>
        <v>2655</v>
      </c>
      <c r="E134" s="159">
        <f t="shared" si="32"/>
        <v>36313</v>
      </c>
      <c r="F134" s="161">
        <f t="shared" si="33"/>
        <v>2655</v>
      </c>
      <c r="G134" s="128"/>
      <c r="H134" s="125">
        <v>83</v>
      </c>
      <c r="I134" s="159">
        <f t="shared" si="34"/>
        <v>36313</v>
      </c>
      <c r="J134" s="160">
        <f t="shared" si="35"/>
        <v>3319</v>
      </c>
      <c r="K134" s="171">
        <f t="shared" si="36"/>
        <v>35379</v>
      </c>
      <c r="L134" s="161">
        <f t="shared" si="37"/>
        <v>561</v>
      </c>
      <c r="M134" s="127"/>
      <c r="N134" s="125">
        <v>83</v>
      </c>
      <c r="O134" s="159">
        <f t="shared" si="38"/>
        <v>36313</v>
      </c>
      <c r="P134" s="160">
        <f t="shared" si="39"/>
        <v>3153</v>
      </c>
      <c r="Q134" s="171">
        <f t="shared" si="40"/>
        <v>35571</v>
      </c>
      <c r="R134" s="173">
        <f t="shared" si="41"/>
        <v>1008</v>
      </c>
      <c r="S134" s="127"/>
      <c r="T134" s="125">
        <v>83</v>
      </c>
      <c r="U134" s="171">
        <f t="shared" si="42"/>
        <v>36313</v>
      </c>
      <c r="V134" s="160">
        <f t="shared" si="43"/>
        <v>2904</v>
      </c>
      <c r="W134" s="171">
        <f t="shared" si="44"/>
        <v>35913</v>
      </c>
      <c r="X134" s="173">
        <f t="shared" si="45"/>
        <v>1656</v>
      </c>
      <c r="Y134" s="127"/>
      <c r="Z134" s="128"/>
      <c r="AA134" s="92"/>
      <c r="AB134" s="92"/>
      <c r="AC134" s="93"/>
      <c r="AD134" s="92"/>
    </row>
    <row r="135" spans="2:30">
      <c r="B135" s="125">
        <v>84</v>
      </c>
      <c r="C135" s="159">
        <f t="shared" si="30"/>
        <v>36750</v>
      </c>
      <c r="D135" s="160">
        <f t="shared" si="31"/>
        <v>2340</v>
      </c>
      <c r="E135" s="159">
        <f t="shared" si="32"/>
        <v>36750</v>
      </c>
      <c r="F135" s="161">
        <f t="shared" si="33"/>
        <v>2340</v>
      </c>
      <c r="G135" s="128"/>
      <c r="H135" s="125">
        <v>84</v>
      </c>
      <c r="I135" s="159">
        <f t="shared" si="34"/>
        <v>36750</v>
      </c>
      <c r="J135" s="160">
        <f t="shared" si="35"/>
        <v>3012</v>
      </c>
      <c r="K135" s="171">
        <f t="shared" si="36"/>
        <v>35805</v>
      </c>
      <c r="L135" s="161">
        <f t="shared" si="37"/>
        <v>228</v>
      </c>
      <c r="M135" s="127"/>
      <c r="N135" s="125">
        <v>84</v>
      </c>
      <c r="O135" s="159">
        <f t="shared" si="38"/>
        <v>36750</v>
      </c>
      <c r="P135" s="160">
        <f t="shared" si="39"/>
        <v>2844</v>
      </c>
      <c r="Q135" s="171">
        <f t="shared" si="40"/>
        <v>36000</v>
      </c>
      <c r="R135" s="173">
        <f t="shared" si="41"/>
        <v>684</v>
      </c>
      <c r="S135" s="127"/>
      <c r="T135" s="125">
        <v>84</v>
      </c>
      <c r="U135" s="171">
        <f t="shared" si="42"/>
        <v>36750</v>
      </c>
      <c r="V135" s="160">
        <f t="shared" si="43"/>
        <v>2592</v>
      </c>
      <c r="W135" s="171">
        <f t="shared" si="44"/>
        <v>36346</v>
      </c>
      <c r="X135" s="173">
        <f t="shared" si="45"/>
        <v>1338</v>
      </c>
      <c r="Y135" s="127"/>
      <c r="Z135" s="128"/>
      <c r="AA135" s="92"/>
      <c r="AB135" s="92"/>
      <c r="AC135" s="93"/>
      <c r="AD135" s="92"/>
    </row>
    <row r="136" spans="2:30">
      <c r="B136" s="125">
        <v>85</v>
      </c>
      <c r="C136" s="159">
        <f t="shared" si="30"/>
        <v>37188</v>
      </c>
      <c r="D136" s="160">
        <f t="shared" si="31"/>
        <v>2025</v>
      </c>
      <c r="E136" s="159">
        <f t="shared" si="32"/>
        <v>37188</v>
      </c>
      <c r="F136" s="161">
        <f t="shared" si="33"/>
        <v>2025</v>
      </c>
      <c r="G136" s="128"/>
      <c r="H136" s="131">
        <v>85</v>
      </c>
      <c r="I136" s="181">
        <f t="shared" si="34"/>
        <v>37188</v>
      </c>
      <c r="J136" s="182">
        <f t="shared" si="35"/>
        <v>2705</v>
      </c>
      <c r="K136" s="183">
        <f t="shared" si="36"/>
        <v>36231</v>
      </c>
      <c r="L136" s="184">
        <f t="shared" si="37"/>
        <v>-105</v>
      </c>
      <c r="M136" s="127"/>
      <c r="N136" s="125">
        <v>85</v>
      </c>
      <c r="O136" s="159">
        <f t="shared" si="38"/>
        <v>37188</v>
      </c>
      <c r="P136" s="160">
        <f t="shared" si="39"/>
        <v>2535</v>
      </c>
      <c r="Q136" s="171">
        <f t="shared" si="40"/>
        <v>36429</v>
      </c>
      <c r="R136" s="173">
        <f t="shared" si="41"/>
        <v>360</v>
      </c>
      <c r="S136" s="127"/>
      <c r="T136" s="125">
        <v>85</v>
      </c>
      <c r="U136" s="171">
        <f t="shared" si="42"/>
        <v>37188</v>
      </c>
      <c r="V136" s="160">
        <f t="shared" si="43"/>
        <v>2280</v>
      </c>
      <c r="W136" s="171">
        <f t="shared" si="44"/>
        <v>36779</v>
      </c>
      <c r="X136" s="173">
        <f t="shared" si="45"/>
        <v>1020</v>
      </c>
      <c r="Y136" s="127"/>
      <c r="Z136" s="128"/>
      <c r="AA136" s="92"/>
      <c r="AB136" s="92"/>
      <c r="AC136" s="93"/>
      <c r="AD136" s="92"/>
    </row>
    <row r="137" spans="2:30">
      <c r="B137" s="125">
        <v>86</v>
      </c>
      <c r="C137" s="159">
        <f t="shared" si="30"/>
        <v>37625</v>
      </c>
      <c r="D137" s="160">
        <f t="shared" si="31"/>
        <v>1710</v>
      </c>
      <c r="E137" s="159">
        <f t="shared" si="32"/>
        <v>37625</v>
      </c>
      <c r="F137" s="161">
        <f t="shared" si="33"/>
        <v>1710</v>
      </c>
      <c r="G137" s="128"/>
      <c r="H137" s="125">
        <v>86</v>
      </c>
      <c r="I137" s="159">
        <f t="shared" si="34"/>
        <v>37625</v>
      </c>
      <c r="J137" s="160">
        <f t="shared" si="35"/>
        <v>2398</v>
      </c>
      <c r="K137" s="171">
        <f t="shared" si="36"/>
        <v>36658</v>
      </c>
      <c r="L137" s="161">
        <f t="shared" si="37"/>
        <v>-438</v>
      </c>
      <c r="M137" s="127"/>
      <c r="N137" s="125">
        <v>86</v>
      </c>
      <c r="O137" s="159">
        <f t="shared" si="38"/>
        <v>37625</v>
      </c>
      <c r="P137" s="160">
        <f t="shared" si="39"/>
        <v>2226</v>
      </c>
      <c r="Q137" s="171">
        <f t="shared" si="40"/>
        <v>36857</v>
      </c>
      <c r="R137" s="173">
        <f t="shared" si="41"/>
        <v>36</v>
      </c>
      <c r="S137" s="127"/>
      <c r="T137" s="125">
        <v>86</v>
      </c>
      <c r="U137" s="171">
        <f t="shared" si="42"/>
        <v>37625</v>
      </c>
      <c r="V137" s="160">
        <f t="shared" si="43"/>
        <v>1968</v>
      </c>
      <c r="W137" s="171">
        <f t="shared" si="44"/>
        <v>37212</v>
      </c>
      <c r="X137" s="173">
        <f t="shared" si="45"/>
        <v>702</v>
      </c>
      <c r="Y137" s="127"/>
      <c r="Z137" s="128"/>
      <c r="AA137" s="92"/>
      <c r="AB137" s="92"/>
      <c r="AC137" s="93"/>
      <c r="AD137" s="92"/>
    </row>
    <row r="138" spans="2:30">
      <c r="B138" s="125">
        <v>87</v>
      </c>
      <c r="C138" s="159">
        <f t="shared" si="30"/>
        <v>38063</v>
      </c>
      <c r="D138" s="160">
        <f t="shared" si="31"/>
        <v>1395</v>
      </c>
      <c r="E138" s="159">
        <f t="shared" si="32"/>
        <v>38063</v>
      </c>
      <c r="F138" s="161">
        <f t="shared" si="33"/>
        <v>1395</v>
      </c>
      <c r="G138" s="128"/>
      <c r="H138" s="125">
        <v>87</v>
      </c>
      <c r="I138" s="159">
        <f t="shared" si="34"/>
        <v>38063</v>
      </c>
      <c r="J138" s="160">
        <f t="shared" si="35"/>
        <v>2091</v>
      </c>
      <c r="K138" s="171">
        <f t="shared" si="36"/>
        <v>37084</v>
      </c>
      <c r="L138" s="161">
        <f t="shared" si="37"/>
        <v>-771</v>
      </c>
      <c r="M138" s="127"/>
      <c r="N138" s="130">
        <v>87</v>
      </c>
      <c r="O138" s="188">
        <f t="shared" si="38"/>
        <v>38063</v>
      </c>
      <c r="P138" s="189">
        <f t="shared" si="39"/>
        <v>1917</v>
      </c>
      <c r="Q138" s="190">
        <f t="shared" si="40"/>
        <v>37286</v>
      </c>
      <c r="R138" s="191">
        <f t="shared" si="41"/>
        <v>-288</v>
      </c>
      <c r="S138" s="127"/>
      <c r="T138" s="125">
        <v>87</v>
      </c>
      <c r="U138" s="171">
        <f t="shared" si="42"/>
        <v>38063</v>
      </c>
      <c r="V138" s="160">
        <f t="shared" si="43"/>
        <v>1656</v>
      </c>
      <c r="W138" s="171">
        <f t="shared" si="44"/>
        <v>37644</v>
      </c>
      <c r="X138" s="173">
        <f t="shared" si="45"/>
        <v>384</v>
      </c>
      <c r="Y138" s="127"/>
      <c r="Z138" s="128"/>
      <c r="AA138" s="92"/>
      <c r="AB138" s="92"/>
      <c r="AC138" s="93"/>
      <c r="AD138" s="92"/>
    </row>
    <row r="139" spans="2:30">
      <c r="B139" s="125">
        <v>88</v>
      </c>
      <c r="C139" s="159">
        <f t="shared" si="30"/>
        <v>38500</v>
      </c>
      <c r="D139" s="160">
        <f t="shared" si="31"/>
        <v>1080</v>
      </c>
      <c r="E139" s="159">
        <f t="shared" si="32"/>
        <v>38500</v>
      </c>
      <c r="F139" s="161">
        <f t="shared" si="33"/>
        <v>1080</v>
      </c>
      <c r="G139" s="128"/>
      <c r="H139" s="125">
        <v>88</v>
      </c>
      <c r="I139" s="159">
        <f t="shared" si="34"/>
        <v>38500</v>
      </c>
      <c r="J139" s="160">
        <f t="shared" si="35"/>
        <v>1784</v>
      </c>
      <c r="K139" s="171">
        <f t="shared" si="36"/>
        <v>37510</v>
      </c>
      <c r="L139" s="161">
        <f t="shared" si="37"/>
        <v>-1104</v>
      </c>
      <c r="M139" s="127"/>
      <c r="N139" s="125">
        <v>88</v>
      </c>
      <c r="O139" s="159">
        <f t="shared" si="38"/>
        <v>38500</v>
      </c>
      <c r="P139" s="160">
        <f t="shared" si="39"/>
        <v>1608</v>
      </c>
      <c r="Q139" s="171">
        <f t="shared" si="40"/>
        <v>37714</v>
      </c>
      <c r="R139" s="173">
        <f t="shared" si="41"/>
        <v>-612</v>
      </c>
      <c r="S139" s="127"/>
      <c r="T139" s="125">
        <v>88</v>
      </c>
      <c r="U139" s="171">
        <f t="shared" si="42"/>
        <v>38500</v>
      </c>
      <c r="V139" s="160">
        <f t="shared" si="43"/>
        <v>1344</v>
      </c>
      <c r="W139" s="171">
        <f t="shared" si="44"/>
        <v>38077</v>
      </c>
      <c r="X139" s="173">
        <f t="shared" si="45"/>
        <v>66</v>
      </c>
      <c r="Y139" s="127"/>
      <c r="Z139" s="128"/>
      <c r="AA139" s="92"/>
      <c r="AB139" s="92"/>
      <c r="AC139" s="93"/>
      <c r="AD139" s="92"/>
    </row>
    <row r="140" spans="2:30" ht="17.25" thickBot="1">
      <c r="B140" s="132">
        <v>89</v>
      </c>
      <c r="C140" s="165">
        <f t="shared" si="30"/>
        <v>38938</v>
      </c>
      <c r="D140" s="166">
        <f t="shared" si="31"/>
        <v>765</v>
      </c>
      <c r="E140" s="165">
        <f t="shared" si="32"/>
        <v>38938</v>
      </c>
      <c r="F140" s="167">
        <f t="shared" si="33"/>
        <v>765</v>
      </c>
      <c r="G140" s="128"/>
      <c r="H140" s="132">
        <v>89</v>
      </c>
      <c r="I140" s="165">
        <f t="shared" si="34"/>
        <v>38938</v>
      </c>
      <c r="J140" s="166">
        <f t="shared" si="35"/>
        <v>1477</v>
      </c>
      <c r="K140" s="185">
        <f t="shared" si="36"/>
        <v>37936</v>
      </c>
      <c r="L140" s="167">
        <f t="shared" si="37"/>
        <v>-1437</v>
      </c>
      <c r="M140" s="127"/>
      <c r="N140" s="132">
        <v>89</v>
      </c>
      <c r="O140" s="165">
        <f t="shared" si="38"/>
        <v>38938</v>
      </c>
      <c r="P140" s="166">
        <f t="shared" si="39"/>
        <v>1299</v>
      </c>
      <c r="Q140" s="185">
        <f t="shared" si="40"/>
        <v>38143</v>
      </c>
      <c r="R140" s="192">
        <f t="shared" si="41"/>
        <v>-936</v>
      </c>
      <c r="S140" s="127"/>
      <c r="T140" s="133">
        <v>89</v>
      </c>
      <c r="U140" s="194">
        <f t="shared" si="42"/>
        <v>38938</v>
      </c>
      <c r="V140" s="195">
        <f t="shared" si="43"/>
        <v>1032</v>
      </c>
      <c r="W140" s="194">
        <f t="shared" si="44"/>
        <v>38510</v>
      </c>
      <c r="X140" s="196">
        <f t="shared" si="45"/>
        <v>-252</v>
      </c>
      <c r="Y140" s="127"/>
      <c r="Z140" s="128"/>
      <c r="AA140" s="92"/>
      <c r="AB140" s="92"/>
      <c r="AC140" s="93"/>
      <c r="AD140" s="92"/>
    </row>
    <row r="141" spans="2:30" ht="17.25" thickBot="1">
      <c r="B141" s="134">
        <v>90</v>
      </c>
      <c r="C141" s="168">
        <f t="shared" si="30"/>
        <v>39375</v>
      </c>
      <c r="D141" s="169">
        <f t="shared" si="31"/>
        <v>450</v>
      </c>
      <c r="E141" s="168">
        <f t="shared" si="32"/>
        <v>39375</v>
      </c>
      <c r="F141" s="170">
        <f t="shared" si="33"/>
        <v>450</v>
      </c>
      <c r="G141" s="128"/>
      <c r="H141" s="134">
        <v>90</v>
      </c>
      <c r="I141" s="168">
        <f t="shared" si="34"/>
        <v>39375</v>
      </c>
      <c r="J141" s="169">
        <f t="shared" si="35"/>
        <v>1170</v>
      </c>
      <c r="K141" s="168">
        <f t="shared" si="36"/>
        <v>38363</v>
      </c>
      <c r="L141" s="170">
        <f t="shared" si="37"/>
        <v>-1770</v>
      </c>
      <c r="M141" s="127"/>
      <c r="N141" s="134">
        <v>90</v>
      </c>
      <c r="O141" s="168">
        <f t="shared" si="38"/>
        <v>39375</v>
      </c>
      <c r="P141" s="169">
        <f t="shared" si="39"/>
        <v>990</v>
      </c>
      <c r="Q141" s="168">
        <f t="shared" si="40"/>
        <v>38571</v>
      </c>
      <c r="R141" s="170">
        <f t="shared" si="41"/>
        <v>-1260</v>
      </c>
      <c r="S141" s="127"/>
      <c r="T141" s="134">
        <v>90</v>
      </c>
      <c r="U141" s="168">
        <f t="shared" si="42"/>
        <v>39375</v>
      </c>
      <c r="V141" s="169">
        <f t="shared" si="43"/>
        <v>720</v>
      </c>
      <c r="W141" s="168">
        <f t="shared" si="44"/>
        <v>38942</v>
      </c>
      <c r="X141" s="170">
        <f t="shared" si="45"/>
        <v>-570</v>
      </c>
      <c r="Y141" s="127"/>
      <c r="Z141" s="128"/>
      <c r="AA141" s="92"/>
      <c r="AB141" s="92"/>
      <c r="AC141" s="93"/>
      <c r="AD141" s="92"/>
    </row>
    <row r="142" spans="2:30">
      <c r="B142" s="124">
        <v>91</v>
      </c>
      <c r="C142" s="171">
        <f t="shared" si="30"/>
        <v>39813</v>
      </c>
      <c r="D142" s="172">
        <f t="shared" si="31"/>
        <v>135</v>
      </c>
      <c r="E142" s="171">
        <f t="shared" si="32"/>
        <v>39813</v>
      </c>
      <c r="F142" s="173">
        <f t="shared" si="33"/>
        <v>135</v>
      </c>
      <c r="G142" s="128"/>
      <c r="H142" s="124">
        <v>91</v>
      </c>
      <c r="I142" s="171">
        <f t="shared" si="34"/>
        <v>39813</v>
      </c>
      <c r="J142" s="172">
        <f t="shared" si="35"/>
        <v>863</v>
      </c>
      <c r="K142" s="171">
        <f t="shared" si="36"/>
        <v>38789</v>
      </c>
      <c r="L142" s="173">
        <f t="shared" si="37"/>
        <v>-2103</v>
      </c>
      <c r="M142" s="127"/>
      <c r="N142" s="124">
        <v>91</v>
      </c>
      <c r="O142" s="171">
        <f t="shared" si="38"/>
        <v>39813</v>
      </c>
      <c r="P142" s="172">
        <f t="shared" si="39"/>
        <v>681</v>
      </c>
      <c r="Q142" s="171">
        <f t="shared" si="40"/>
        <v>39000</v>
      </c>
      <c r="R142" s="173">
        <f t="shared" si="41"/>
        <v>-1584</v>
      </c>
      <c r="S142" s="127"/>
      <c r="T142" s="124">
        <v>91</v>
      </c>
      <c r="U142" s="171">
        <f t="shared" si="42"/>
        <v>39813</v>
      </c>
      <c r="V142" s="172">
        <f t="shared" si="43"/>
        <v>408</v>
      </c>
      <c r="W142" s="171">
        <f t="shared" si="44"/>
        <v>39375</v>
      </c>
      <c r="X142" s="173">
        <f t="shared" si="45"/>
        <v>-888</v>
      </c>
      <c r="Y142" s="127"/>
      <c r="Z142" s="128"/>
      <c r="AA142" s="92"/>
      <c r="AB142" s="92"/>
      <c r="AC142" s="93"/>
      <c r="AD142" s="92"/>
    </row>
    <row r="143" spans="2:30">
      <c r="B143" s="135">
        <v>92</v>
      </c>
      <c r="C143" s="174">
        <f t="shared" si="30"/>
        <v>40250</v>
      </c>
      <c r="D143" s="175">
        <f t="shared" si="31"/>
        <v>-180</v>
      </c>
      <c r="E143" s="174">
        <f t="shared" si="32"/>
        <v>40250</v>
      </c>
      <c r="F143" s="176">
        <f t="shared" si="33"/>
        <v>-180</v>
      </c>
      <c r="G143" s="128"/>
      <c r="H143" s="125">
        <v>92</v>
      </c>
      <c r="I143" s="159">
        <f t="shared" si="34"/>
        <v>40250</v>
      </c>
      <c r="J143" s="160">
        <f t="shared" si="35"/>
        <v>556</v>
      </c>
      <c r="K143" s="171">
        <f t="shared" si="36"/>
        <v>39215</v>
      </c>
      <c r="L143" s="161">
        <f t="shared" si="37"/>
        <v>-2436</v>
      </c>
      <c r="M143" s="127"/>
      <c r="N143" s="125">
        <v>92</v>
      </c>
      <c r="O143" s="159">
        <f t="shared" si="38"/>
        <v>40250</v>
      </c>
      <c r="P143" s="160">
        <f t="shared" si="39"/>
        <v>372</v>
      </c>
      <c r="Q143" s="171">
        <f t="shared" si="40"/>
        <v>39429</v>
      </c>
      <c r="R143" s="173">
        <f t="shared" si="41"/>
        <v>-1908</v>
      </c>
      <c r="S143" s="127"/>
      <c r="T143" s="125">
        <v>92</v>
      </c>
      <c r="U143" s="171">
        <f t="shared" si="42"/>
        <v>40250</v>
      </c>
      <c r="V143" s="160">
        <f t="shared" si="43"/>
        <v>96</v>
      </c>
      <c r="W143" s="171">
        <f t="shared" si="44"/>
        <v>39808</v>
      </c>
      <c r="X143" s="173">
        <f t="shared" si="45"/>
        <v>-1206</v>
      </c>
      <c r="Y143" s="127"/>
      <c r="Z143" s="128"/>
      <c r="AA143" s="92"/>
      <c r="AB143" s="92"/>
      <c r="AC143" s="93"/>
      <c r="AD143" s="92"/>
    </row>
    <row r="144" spans="2:30">
      <c r="B144" s="125">
        <v>93</v>
      </c>
      <c r="C144" s="159">
        <f t="shared" si="30"/>
        <v>40688</v>
      </c>
      <c r="D144" s="160">
        <f t="shared" si="31"/>
        <v>-495</v>
      </c>
      <c r="E144" s="159">
        <f t="shared" si="32"/>
        <v>40688</v>
      </c>
      <c r="F144" s="161">
        <f t="shared" si="33"/>
        <v>-495</v>
      </c>
      <c r="G144" s="128"/>
      <c r="H144" s="125">
        <v>93</v>
      </c>
      <c r="I144" s="159">
        <f t="shared" si="34"/>
        <v>40688</v>
      </c>
      <c r="J144" s="160">
        <f t="shared" si="35"/>
        <v>249</v>
      </c>
      <c r="K144" s="171">
        <f t="shared" si="36"/>
        <v>39641</v>
      </c>
      <c r="L144" s="161">
        <f t="shared" si="37"/>
        <v>-2769</v>
      </c>
      <c r="M144" s="127"/>
      <c r="N144" s="125">
        <v>93</v>
      </c>
      <c r="O144" s="159">
        <f t="shared" si="38"/>
        <v>40688</v>
      </c>
      <c r="P144" s="160">
        <f t="shared" si="39"/>
        <v>63</v>
      </c>
      <c r="Q144" s="171">
        <f t="shared" si="40"/>
        <v>39857</v>
      </c>
      <c r="R144" s="173">
        <f t="shared" si="41"/>
        <v>-2232</v>
      </c>
      <c r="S144" s="127"/>
      <c r="T144" s="135">
        <v>93</v>
      </c>
      <c r="U144" s="186">
        <f t="shared" si="42"/>
        <v>40688</v>
      </c>
      <c r="V144" s="175">
        <f t="shared" si="43"/>
        <v>-216</v>
      </c>
      <c r="W144" s="186">
        <f t="shared" si="44"/>
        <v>40240</v>
      </c>
      <c r="X144" s="193">
        <f t="shared" si="45"/>
        <v>-1524</v>
      </c>
      <c r="Y144" s="127"/>
      <c r="Z144" s="128"/>
      <c r="AA144" s="92"/>
      <c r="AB144" s="92"/>
      <c r="AC144" s="93"/>
      <c r="AD144" s="92"/>
    </row>
    <row r="145" spans="2:30">
      <c r="B145" s="125">
        <v>94</v>
      </c>
      <c r="C145" s="159">
        <f t="shared" si="30"/>
        <v>41125</v>
      </c>
      <c r="D145" s="160">
        <f t="shared" si="31"/>
        <v>-810</v>
      </c>
      <c r="E145" s="159">
        <f t="shared" si="32"/>
        <v>41125</v>
      </c>
      <c r="F145" s="161">
        <f t="shared" si="33"/>
        <v>-810</v>
      </c>
      <c r="G145" s="128"/>
      <c r="H145" s="135">
        <v>94</v>
      </c>
      <c r="I145" s="174">
        <f t="shared" si="34"/>
        <v>41125</v>
      </c>
      <c r="J145" s="175">
        <f t="shared" si="35"/>
        <v>-58</v>
      </c>
      <c r="K145" s="186">
        <f t="shared" si="36"/>
        <v>40068</v>
      </c>
      <c r="L145" s="176">
        <f t="shared" si="37"/>
        <v>-3102</v>
      </c>
      <c r="M145" s="127"/>
      <c r="N145" s="135">
        <v>94</v>
      </c>
      <c r="O145" s="174">
        <f t="shared" si="38"/>
        <v>41125</v>
      </c>
      <c r="P145" s="175">
        <f t="shared" si="39"/>
        <v>-246</v>
      </c>
      <c r="Q145" s="186">
        <f t="shared" si="40"/>
        <v>40286</v>
      </c>
      <c r="R145" s="193">
        <f t="shared" si="41"/>
        <v>-2556</v>
      </c>
      <c r="S145" s="127"/>
      <c r="T145" s="125">
        <v>94</v>
      </c>
      <c r="U145" s="171">
        <f t="shared" si="42"/>
        <v>41125</v>
      </c>
      <c r="V145" s="160">
        <f t="shared" si="43"/>
        <v>-528</v>
      </c>
      <c r="W145" s="171">
        <f t="shared" si="44"/>
        <v>40673</v>
      </c>
      <c r="X145" s="173">
        <f t="shared" si="45"/>
        <v>-1842</v>
      </c>
      <c r="Y145" s="127"/>
      <c r="Z145" s="128"/>
      <c r="AA145" s="92"/>
      <c r="AB145" s="92"/>
      <c r="AC145" s="93"/>
      <c r="AD145" s="92"/>
    </row>
    <row r="146" spans="2:30">
      <c r="B146" s="125">
        <v>95</v>
      </c>
      <c r="C146" s="159">
        <f t="shared" si="30"/>
        <v>41563</v>
      </c>
      <c r="D146" s="160">
        <f t="shared" si="31"/>
        <v>-1125</v>
      </c>
      <c r="E146" s="159">
        <f t="shared" si="32"/>
        <v>41563</v>
      </c>
      <c r="F146" s="161">
        <f t="shared" si="33"/>
        <v>-1125</v>
      </c>
      <c r="G146" s="128"/>
      <c r="H146" s="125">
        <v>95</v>
      </c>
      <c r="I146" s="159">
        <f t="shared" si="34"/>
        <v>41563</v>
      </c>
      <c r="J146" s="160">
        <f t="shared" si="35"/>
        <v>-365</v>
      </c>
      <c r="K146" s="171">
        <f t="shared" si="36"/>
        <v>40494</v>
      </c>
      <c r="L146" s="161">
        <f t="shared" si="37"/>
        <v>-3435</v>
      </c>
      <c r="M146" s="127"/>
      <c r="N146" s="125">
        <v>95</v>
      </c>
      <c r="O146" s="159">
        <f t="shared" si="38"/>
        <v>41563</v>
      </c>
      <c r="P146" s="160">
        <f t="shared" si="39"/>
        <v>-555</v>
      </c>
      <c r="Q146" s="171">
        <f t="shared" si="40"/>
        <v>40714</v>
      </c>
      <c r="R146" s="173">
        <f t="shared" si="41"/>
        <v>-2880</v>
      </c>
      <c r="S146" s="127"/>
      <c r="T146" s="125">
        <v>95</v>
      </c>
      <c r="U146" s="171">
        <f t="shared" si="42"/>
        <v>41563</v>
      </c>
      <c r="V146" s="160">
        <f t="shared" si="43"/>
        <v>-840</v>
      </c>
      <c r="W146" s="171">
        <f t="shared" si="44"/>
        <v>41106</v>
      </c>
      <c r="X146" s="173">
        <f t="shared" si="45"/>
        <v>-2160</v>
      </c>
      <c r="Y146" s="127"/>
      <c r="Z146" s="128"/>
      <c r="AA146" s="92"/>
      <c r="AB146" s="92"/>
      <c r="AC146" s="93"/>
      <c r="AD146" s="92"/>
    </row>
    <row r="147" spans="2:30">
      <c r="B147" s="125">
        <v>96</v>
      </c>
      <c r="C147" s="159">
        <f t="shared" si="30"/>
        <v>42000</v>
      </c>
      <c r="D147" s="160">
        <f t="shared" si="31"/>
        <v>-1440</v>
      </c>
      <c r="E147" s="159">
        <f t="shared" si="32"/>
        <v>42000</v>
      </c>
      <c r="F147" s="161">
        <f t="shared" si="33"/>
        <v>-1440</v>
      </c>
      <c r="G147" s="128"/>
      <c r="H147" s="125">
        <v>96</v>
      </c>
      <c r="I147" s="159">
        <f t="shared" si="34"/>
        <v>42000</v>
      </c>
      <c r="J147" s="160">
        <f t="shared" si="35"/>
        <v>-672</v>
      </c>
      <c r="K147" s="171">
        <f t="shared" si="36"/>
        <v>40920</v>
      </c>
      <c r="L147" s="161">
        <f t="shared" si="37"/>
        <v>-3768</v>
      </c>
      <c r="M147" s="127"/>
      <c r="N147" s="125">
        <v>96</v>
      </c>
      <c r="O147" s="159">
        <f t="shared" si="38"/>
        <v>42000</v>
      </c>
      <c r="P147" s="160">
        <f t="shared" si="39"/>
        <v>-864</v>
      </c>
      <c r="Q147" s="171">
        <f t="shared" si="40"/>
        <v>41143</v>
      </c>
      <c r="R147" s="173">
        <f t="shared" si="41"/>
        <v>-3204</v>
      </c>
      <c r="S147" s="127"/>
      <c r="T147" s="125">
        <v>96</v>
      </c>
      <c r="U147" s="171">
        <f t="shared" si="42"/>
        <v>42000</v>
      </c>
      <c r="V147" s="160">
        <f t="shared" si="43"/>
        <v>-1152</v>
      </c>
      <c r="W147" s="171">
        <f t="shared" si="44"/>
        <v>41538</v>
      </c>
      <c r="X147" s="173">
        <f t="shared" si="45"/>
        <v>-2478</v>
      </c>
      <c r="Y147" s="127"/>
      <c r="Z147" s="128"/>
      <c r="AA147" s="92"/>
      <c r="AB147" s="92"/>
      <c r="AC147" s="93"/>
      <c r="AD147" s="92"/>
    </row>
    <row r="148" spans="2:30">
      <c r="B148" s="125">
        <v>97</v>
      </c>
      <c r="C148" s="159">
        <f t="shared" si="30"/>
        <v>42438</v>
      </c>
      <c r="D148" s="160">
        <f t="shared" si="31"/>
        <v>-1755</v>
      </c>
      <c r="E148" s="159">
        <f t="shared" si="32"/>
        <v>42438</v>
      </c>
      <c r="F148" s="161">
        <f t="shared" si="33"/>
        <v>-1755</v>
      </c>
      <c r="G148" s="128"/>
      <c r="H148" s="125">
        <v>97</v>
      </c>
      <c r="I148" s="159">
        <f t="shared" si="34"/>
        <v>42438</v>
      </c>
      <c r="J148" s="160">
        <f t="shared" si="35"/>
        <v>-979</v>
      </c>
      <c r="K148" s="171">
        <f t="shared" si="36"/>
        <v>41346</v>
      </c>
      <c r="L148" s="161">
        <f t="shared" si="37"/>
        <v>-4101</v>
      </c>
      <c r="M148" s="127"/>
      <c r="N148" s="125">
        <v>97</v>
      </c>
      <c r="O148" s="159">
        <f t="shared" si="38"/>
        <v>42438</v>
      </c>
      <c r="P148" s="160">
        <f t="shared" si="39"/>
        <v>-1173</v>
      </c>
      <c r="Q148" s="171">
        <f t="shared" si="40"/>
        <v>41571</v>
      </c>
      <c r="R148" s="173">
        <f t="shared" si="41"/>
        <v>-3528</v>
      </c>
      <c r="S148" s="127"/>
      <c r="T148" s="125">
        <v>97</v>
      </c>
      <c r="U148" s="171">
        <f t="shared" si="42"/>
        <v>42438</v>
      </c>
      <c r="V148" s="160">
        <f t="shared" si="43"/>
        <v>-1464</v>
      </c>
      <c r="W148" s="171">
        <f t="shared" si="44"/>
        <v>41971</v>
      </c>
      <c r="X148" s="173">
        <f t="shared" si="45"/>
        <v>-2796</v>
      </c>
      <c r="Y148" s="127"/>
      <c r="Z148" s="128"/>
      <c r="AA148" s="92"/>
      <c r="AB148" s="92"/>
      <c r="AC148" s="93"/>
      <c r="AD148" s="92"/>
    </row>
    <row r="149" spans="2:30">
      <c r="B149" s="125">
        <v>98</v>
      </c>
      <c r="C149" s="159">
        <f t="shared" si="30"/>
        <v>42875</v>
      </c>
      <c r="D149" s="160">
        <f t="shared" si="31"/>
        <v>-2070</v>
      </c>
      <c r="E149" s="159">
        <f t="shared" si="32"/>
        <v>42875</v>
      </c>
      <c r="F149" s="161">
        <f t="shared" si="33"/>
        <v>-2070</v>
      </c>
      <c r="G149" s="136"/>
      <c r="H149" s="125">
        <v>98</v>
      </c>
      <c r="I149" s="159">
        <f t="shared" si="34"/>
        <v>42875</v>
      </c>
      <c r="J149" s="160">
        <f t="shared" si="35"/>
        <v>-1286</v>
      </c>
      <c r="K149" s="171">
        <f t="shared" si="36"/>
        <v>41773</v>
      </c>
      <c r="L149" s="161">
        <f t="shared" si="37"/>
        <v>-4434</v>
      </c>
      <c r="M149" s="127"/>
      <c r="N149" s="125">
        <v>98</v>
      </c>
      <c r="O149" s="159">
        <f t="shared" si="38"/>
        <v>42875</v>
      </c>
      <c r="P149" s="160">
        <f t="shared" si="39"/>
        <v>-1482</v>
      </c>
      <c r="Q149" s="171">
        <f t="shared" si="40"/>
        <v>42000</v>
      </c>
      <c r="R149" s="173">
        <f t="shared" si="41"/>
        <v>-3852</v>
      </c>
      <c r="S149" s="127"/>
      <c r="T149" s="125">
        <v>98</v>
      </c>
      <c r="U149" s="171">
        <f t="shared" si="42"/>
        <v>42875</v>
      </c>
      <c r="V149" s="160">
        <f t="shared" si="43"/>
        <v>-1776</v>
      </c>
      <c r="W149" s="171">
        <f t="shared" si="44"/>
        <v>42404</v>
      </c>
      <c r="X149" s="173">
        <f t="shared" si="45"/>
        <v>-3114</v>
      </c>
      <c r="Y149" s="127"/>
      <c r="Z149" s="128"/>
      <c r="AA149" s="92"/>
      <c r="AB149" s="92"/>
      <c r="AC149" s="93"/>
      <c r="AD149" s="92"/>
    </row>
    <row r="150" spans="2:30">
      <c r="B150" s="125">
        <v>99</v>
      </c>
      <c r="C150" s="159">
        <f t="shared" si="30"/>
        <v>43313</v>
      </c>
      <c r="D150" s="160">
        <f t="shared" si="31"/>
        <v>-2385</v>
      </c>
      <c r="E150" s="159">
        <f t="shared" si="32"/>
        <v>43313</v>
      </c>
      <c r="F150" s="161">
        <f t="shared" si="33"/>
        <v>-2385</v>
      </c>
      <c r="G150" s="128"/>
      <c r="H150" s="125">
        <v>99</v>
      </c>
      <c r="I150" s="159">
        <f t="shared" si="34"/>
        <v>43313</v>
      </c>
      <c r="J150" s="160">
        <f t="shared" si="35"/>
        <v>-1593</v>
      </c>
      <c r="K150" s="171">
        <f t="shared" si="36"/>
        <v>42199</v>
      </c>
      <c r="L150" s="161">
        <f t="shared" si="37"/>
        <v>-4767</v>
      </c>
      <c r="M150" s="127"/>
      <c r="N150" s="125">
        <v>99</v>
      </c>
      <c r="O150" s="159">
        <f t="shared" si="38"/>
        <v>43313</v>
      </c>
      <c r="P150" s="160">
        <f t="shared" si="39"/>
        <v>-1791</v>
      </c>
      <c r="Q150" s="171">
        <f t="shared" si="40"/>
        <v>42429</v>
      </c>
      <c r="R150" s="173">
        <f t="shared" si="41"/>
        <v>-4176</v>
      </c>
      <c r="S150" s="127"/>
      <c r="T150" s="125">
        <v>99</v>
      </c>
      <c r="U150" s="171">
        <f t="shared" si="42"/>
        <v>43313</v>
      </c>
      <c r="V150" s="160">
        <f t="shared" si="43"/>
        <v>-2088</v>
      </c>
      <c r="W150" s="171">
        <f t="shared" si="44"/>
        <v>42837</v>
      </c>
      <c r="X150" s="173">
        <f t="shared" si="45"/>
        <v>-3432</v>
      </c>
      <c r="Y150" s="137"/>
      <c r="Z150" s="136"/>
      <c r="AA150" s="94"/>
      <c r="AB150" s="94"/>
      <c r="AC150" s="95"/>
      <c r="AD150" s="94"/>
    </row>
    <row r="151" spans="2:30" ht="17.25" thickBot="1">
      <c r="B151" s="138">
        <v>100</v>
      </c>
      <c r="C151" s="177">
        <f t="shared" si="30"/>
        <v>43750</v>
      </c>
      <c r="D151" s="178">
        <f t="shared" si="31"/>
        <v>-2700</v>
      </c>
      <c r="E151" s="177">
        <f t="shared" si="32"/>
        <v>43750</v>
      </c>
      <c r="F151" s="179">
        <f t="shared" si="33"/>
        <v>-2700</v>
      </c>
      <c r="G151" s="128"/>
      <c r="H151" s="138">
        <v>100</v>
      </c>
      <c r="I151" s="177">
        <f t="shared" si="34"/>
        <v>43750</v>
      </c>
      <c r="J151" s="178">
        <f t="shared" si="35"/>
        <v>-1900</v>
      </c>
      <c r="K151" s="177">
        <f t="shared" si="36"/>
        <v>42625</v>
      </c>
      <c r="L151" s="179">
        <f t="shared" si="37"/>
        <v>-5100</v>
      </c>
      <c r="M151" s="127"/>
      <c r="N151" s="138">
        <v>100</v>
      </c>
      <c r="O151" s="177">
        <f t="shared" si="38"/>
        <v>43750</v>
      </c>
      <c r="P151" s="178">
        <f t="shared" si="39"/>
        <v>-2100</v>
      </c>
      <c r="Q151" s="177">
        <f t="shared" si="40"/>
        <v>42857</v>
      </c>
      <c r="R151" s="179">
        <f t="shared" si="41"/>
        <v>-4500</v>
      </c>
      <c r="S151" s="127"/>
      <c r="T151" s="138">
        <v>100</v>
      </c>
      <c r="U151" s="177">
        <f t="shared" si="42"/>
        <v>43750</v>
      </c>
      <c r="V151" s="178">
        <f t="shared" si="43"/>
        <v>-2400</v>
      </c>
      <c r="W151" s="177">
        <f t="shared" si="44"/>
        <v>43269</v>
      </c>
      <c r="X151" s="179">
        <f t="shared" si="45"/>
        <v>-3750</v>
      </c>
      <c r="Y151" s="127"/>
      <c r="Z151" s="128"/>
      <c r="AA151" s="92"/>
      <c r="AB151" s="92"/>
      <c r="AC151" s="93"/>
      <c r="AD151" s="92"/>
    </row>
    <row r="152" spans="2:30" ht="17.25" thickBot="1">
      <c r="B152" s="315" t="s">
        <v>72</v>
      </c>
      <c r="C152" s="315"/>
      <c r="D152" s="315"/>
      <c r="E152" s="316" t="s">
        <v>73</v>
      </c>
      <c r="F152" s="316"/>
      <c r="G152" s="128"/>
      <c r="H152" s="315" t="s">
        <v>72</v>
      </c>
      <c r="I152" s="315"/>
      <c r="J152" s="315"/>
      <c r="K152" s="316" t="s">
        <v>158</v>
      </c>
      <c r="L152" s="316"/>
      <c r="M152" s="127"/>
      <c r="N152" s="315" t="s">
        <v>72</v>
      </c>
      <c r="O152" s="315"/>
      <c r="P152" s="315"/>
      <c r="Q152" s="316" t="s">
        <v>76</v>
      </c>
      <c r="R152" s="316"/>
      <c r="S152" s="127"/>
      <c r="T152" s="315" t="s">
        <v>72</v>
      </c>
      <c r="U152" s="315"/>
      <c r="V152" s="315"/>
      <c r="W152" s="316" t="s">
        <v>78</v>
      </c>
      <c r="X152" s="316"/>
      <c r="Y152" s="127"/>
      <c r="Z152" s="128"/>
      <c r="AA152" s="92"/>
      <c r="AB152" s="92"/>
      <c r="AC152" s="93"/>
      <c r="AD152" s="92"/>
    </row>
    <row r="153" spans="2:30" ht="17.25" thickBot="1">
      <c r="B153" s="315" t="s">
        <v>74</v>
      </c>
      <c r="C153" s="315"/>
      <c r="D153" s="315"/>
      <c r="E153" s="316" t="s">
        <v>75</v>
      </c>
      <c r="F153" s="316"/>
      <c r="G153" s="128"/>
      <c r="H153" s="315" t="s">
        <v>74</v>
      </c>
      <c r="I153" s="315"/>
      <c r="J153" s="315"/>
      <c r="K153" s="316" t="s">
        <v>159</v>
      </c>
      <c r="L153" s="316"/>
      <c r="M153" s="127"/>
      <c r="N153" s="315" t="s">
        <v>74</v>
      </c>
      <c r="O153" s="315"/>
      <c r="P153" s="315"/>
      <c r="Q153" s="316" t="s">
        <v>77</v>
      </c>
      <c r="R153" s="316"/>
      <c r="S153" s="127"/>
      <c r="T153" s="315" t="s">
        <v>74</v>
      </c>
      <c r="U153" s="315"/>
      <c r="V153" s="315"/>
      <c r="W153" s="316" t="s">
        <v>79</v>
      </c>
      <c r="X153" s="316"/>
      <c r="Y153" s="127"/>
      <c r="Z153" s="128"/>
      <c r="AA153" s="92"/>
      <c r="AB153" s="92"/>
      <c r="AC153" s="93"/>
      <c r="AD153" s="92"/>
    </row>
    <row r="154" spans="2:30">
      <c r="B154" s="139"/>
      <c r="C154" s="140"/>
      <c r="D154" s="140"/>
      <c r="E154" s="140"/>
      <c r="F154" s="140"/>
      <c r="G154" s="128"/>
      <c r="H154" s="139"/>
      <c r="I154" s="140"/>
      <c r="J154" s="140"/>
      <c r="K154" s="140"/>
      <c r="L154" s="140"/>
      <c r="M154" s="127"/>
      <c r="N154" s="139"/>
      <c r="O154" s="140"/>
      <c r="P154" s="140"/>
      <c r="Q154" s="140"/>
      <c r="R154" s="140"/>
      <c r="S154" s="127"/>
      <c r="T154" s="139"/>
      <c r="U154" s="140"/>
      <c r="V154" s="140"/>
      <c r="W154" s="140"/>
      <c r="X154" s="140"/>
      <c r="Y154" s="127"/>
      <c r="Z154" s="128"/>
      <c r="AA154" s="92"/>
      <c r="AB154" s="92"/>
      <c r="AC154" s="93"/>
      <c r="AD154" s="92"/>
    </row>
    <row r="155" spans="2:30" ht="17.25" thickBot="1">
      <c r="B155" s="139"/>
      <c r="C155" s="140"/>
      <c r="D155" s="140"/>
      <c r="E155" s="140"/>
      <c r="F155" s="140"/>
      <c r="G155" s="128"/>
      <c r="H155" s="139"/>
      <c r="I155" s="140"/>
      <c r="J155" s="140"/>
      <c r="K155" s="140"/>
      <c r="L155" s="140"/>
      <c r="M155" s="127"/>
      <c r="N155" s="139"/>
      <c r="O155" s="140"/>
      <c r="P155" s="140"/>
      <c r="Q155" s="140"/>
      <c r="R155" s="140"/>
      <c r="S155" s="127"/>
      <c r="T155" s="139"/>
      <c r="U155" s="140"/>
      <c r="V155" s="140"/>
      <c r="W155" s="140"/>
      <c r="X155" s="140"/>
      <c r="Y155" s="127"/>
      <c r="Z155" s="128"/>
      <c r="AA155" s="92"/>
      <c r="AB155" s="92"/>
      <c r="AC155" s="93"/>
      <c r="AD155" s="92"/>
    </row>
    <row r="156" spans="2:30" ht="17.25" thickBot="1">
      <c r="B156" s="117"/>
      <c r="C156" s="330" t="s">
        <v>68</v>
      </c>
      <c r="D156" s="331"/>
      <c r="E156" s="332" t="s">
        <v>68</v>
      </c>
      <c r="F156" s="331"/>
      <c r="G156" s="128"/>
      <c r="H156" s="117"/>
      <c r="I156" s="330" t="s">
        <v>68</v>
      </c>
      <c r="J156" s="331"/>
      <c r="K156" s="319" t="s">
        <v>69</v>
      </c>
      <c r="L156" s="318"/>
      <c r="M156" s="127"/>
      <c r="N156" s="117"/>
      <c r="O156" s="330" t="s">
        <v>68</v>
      </c>
      <c r="P156" s="331"/>
      <c r="Q156" s="313" t="s">
        <v>71</v>
      </c>
      <c r="R156" s="314"/>
      <c r="S156" s="127"/>
      <c r="T156" s="139"/>
      <c r="U156" s="140"/>
      <c r="V156" s="140"/>
      <c r="W156" s="140"/>
      <c r="X156" s="140"/>
      <c r="Y156" s="127"/>
      <c r="Z156" s="128"/>
      <c r="AA156" s="92"/>
      <c r="AB156" s="92"/>
      <c r="AC156" s="93"/>
      <c r="AD156" s="92"/>
    </row>
    <row r="157" spans="2:30" ht="17.25" thickBot="1">
      <c r="B157" s="141" t="s">
        <v>64</v>
      </c>
      <c r="C157" s="103" t="s">
        <v>65</v>
      </c>
      <c r="D157" s="142" t="s">
        <v>66</v>
      </c>
      <c r="E157" s="103" t="s">
        <v>65</v>
      </c>
      <c r="F157" s="143" t="s">
        <v>67</v>
      </c>
      <c r="G157" s="128"/>
      <c r="H157" s="119" t="s">
        <v>64</v>
      </c>
      <c r="I157" s="103" t="s">
        <v>65</v>
      </c>
      <c r="J157" s="120" t="s">
        <v>66</v>
      </c>
      <c r="K157" s="103" t="s">
        <v>65</v>
      </c>
      <c r="L157" s="121" t="s">
        <v>67</v>
      </c>
      <c r="M157" s="127"/>
      <c r="N157" s="119" t="s">
        <v>64</v>
      </c>
      <c r="O157" s="103" t="s">
        <v>65</v>
      </c>
      <c r="P157" s="120" t="s">
        <v>66</v>
      </c>
      <c r="Q157" s="103" t="s">
        <v>65</v>
      </c>
      <c r="R157" s="121" t="s">
        <v>67</v>
      </c>
      <c r="S157" s="127"/>
      <c r="T157" s="139"/>
      <c r="U157" s="140"/>
      <c r="V157" s="140"/>
      <c r="W157" s="140"/>
      <c r="X157" s="140"/>
      <c r="Y157" s="127"/>
      <c r="Z157" s="128"/>
      <c r="AA157" s="92"/>
      <c r="AB157" s="92"/>
      <c r="AC157" s="93"/>
      <c r="AD157" s="92"/>
    </row>
    <row r="158" spans="2:30">
      <c r="B158" s="144">
        <v>1</v>
      </c>
      <c r="C158" s="156">
        <f>ROUND(B158*$E$22,0)</f>
        <v>426</v>
      </c>
      <c r="D158" s="157">
        <f>ROUND(G22-($E$158-($E$158*$C$29%)),0)</f>
        <v>27876</v>
      </c>
      <c r="E158" s="156">
        <f>ROUND(B158*$E$22,0)</f>
        <v>426</v>
      </c>
      <c r="F158" s="158">
        <f>ROUND(G22-($C$158-($C$158*$C$29%)),0)</f>
        <v>27876</v>
      </c>
      <c r="G158" s="122"/>
      <c r="H158" s="144">
        <v>1</v>
      </c>
      <c r="I158" s="156">
        <f>ROUND(H158*$E$22,0)</f>
        <v>426</v>
      </c>
      <c r="J158" s="157">
        <f>ROUND(G22-($K$158-($K$158*$C$29%)),0)</f>
        <v>27874</v>
      </c>
      <c r="K158" s="156">
        <f>ROUND(H158*$E$23,0)</f>
        <v>429</v>
      </c>
      <c r="L158" s="158">
        <f>ROUND(G23-($I$158-($I$158*$D$29%)),0)</f>
        <v>27585</v>
      </c>
      <c r="M158" s="122"/>
      <c r="N158" s="144">
        <v>1</v>
      </c>
      <c r="O158" s="156">
        <f>ROUND(N158*$E$22,0)</f>
        <v>426</v>
      </c>
      <c r="P158" s="157">
        <f>ROUND(G22-($Q$158-($Q$158*$C$29%)),0)</f>
        <v>27871</v>
      </c>
      <c r="Q158" s="156">
        <f>ROUND(N158*$E$24,0)</f>
        <v>433</v>
      </c>
      <c r="R158" s="158">
        <f>ROUND(G23-($O$158-($O$158*$E$29%)),0)</f>
        <v>27591</v>
      </c>
      <c r="S158" s="122"/>
      <c r="T158" s="139"/>
      <c r="U158" s="140"/>
      <c r="V158" s="140"/>
      <c r="W158" s="140"/>
      <c r="X158" s="140"/>
      <c r="Y158" s="122"/>
      <c r="Z158" s="122"/>
      <c r="AA158" s="56"/>
      <c r="AB158" s="56"/>
      <c r="AC158" s="56"/>
      <c r="AD158" s="56"/>
    </row>
    <row r="159" spans="2:30">
      <c r="B159" s="145">
        <v>2</v>
      </c>
      <c r="C159" s="159">
        <f t="shared" ref="C159:C222" si="46">ROUND(B159*$E$22,0)</f>
        <v>853</v>
      </c>
      <c r="D159" s="160">
        <f t="shared" ref="D159:D190" si="47">ROUND(D158-($E$158-($E$158*$C$29%)),0)</f>
        <v>27552</v>
      </c>
      <c r="E159" s="159">
        <f t="shared" ref="E159:E222" si="48">ROUND(B159*$E$22,0)</f>
        <v>853</v>
      </c>
      <c r="F159" s="161">
        <f t="shared" ref="F159:F190" si="49">ROUND(F158-($C$158-($C$158*$C$29%)),0)</f>
        <v>27552</v>
      </c>
      <c r="G159" s="122"/>
      <c r="H159" s="145">
        <v>2</v>
      </c>
      <c r="I159" s="159">
        <f t="shared" ref="I159:I222" si="50">ROUND(H159*$E$22,0)</f>
        <v>853</v>
      </c>
      <c r="J159" s="160">
        <f t="shared" ref="J159:J190" si="51">ROUND(J158-($K$158-($K$158*$C$29%)),0)</f>
        <v>27548</v>
      </c>
      <c r="K159" s="159">
        <f t="shared" ref="K159:K222" si="52">ROUND(H159*$E$23,0)</f>
        <v>857</v>
      </c>
      <c r="L159" s="161">
        <f t="shared" ref="L159:L190" si="53">ROUND(L158-($I$158-($I$158*$D$29%)),0)</f>
        <v>27270</v>
      </c>
      <c r="M159" s="122"/>
      <c r="N159" s="145">
        <v>2</v>
      </c>
      <c r="O159" s="159">
        <f t="shared" ref="O159:O222" si="54">ROUND(N159*$E$22,0)</f>
        <v>853</v>
      </c>
      <c r="P159" s="160">
        <f t="shared" ref="P159:P190" si="55">ROUND(P158-($Q$158-($Q$158*$C$29%)),0)</f>
        <v>27542</v>
      </c>
      <c r="Q159" s="159">
        <f t="shared" ref="Q159:Q222" si="56">ROUND(N159*$E$24,0)</f>
        <v>865</v>
      </c>
      <c r="R159" s="161">
        <f t="shared" ref="R159:R190" si="57">ROUND(R158-($O$158-($O$158*$E$29%)),0)</f>
        <v>27282</v>
      </c>
      <c r="S159" s="122"/>
      <c r="T159" s="139"/>
      <c r="U159" s="140"/>
      <c r="V159" s="140"/>
      <c r="W159" s="140"/>
      <c r="X159" s="140"/>
      <c r="Y159" s="122"/>
      <c r="Z159" s="122"/>
      <c r="AA159" s="56"/>
      <c r="AB159" s="56"/>
      <c r="AC159" s="56"/>
      <c r="AD159" s="56"/>
    </row>
    <row r="160" spans="2:30">
      <c r="B160" s="145">
        <v>3</v>
      </c>
      <c r="C160" s="159">
        <f t="shared" si="46"/>
        <v>1279</v>
      </c>
      <c r="D160" s="160">
        <f t="shared" si="47"/>
        <v>27228</v>
      </c>
      <c r="E160" s="159">
        <f t="shared" si="48"/>
        <v>1279</v>
      </c>
      <c r="F160" s="161">
        <f t="shared" si="49"/>
        <v>27228</v>
      </c>
      <c r="G160" s="118"/>
      <c r="H160" s="145">
        <v>3</v>
      </c>
      <c r="I160" s="159">
        <f t="shared" si="50"/>
        <v>1279</v>
      </c>
      <c r="J160" s="160">
        <f t="shared" si="51"/>
        <v>27222</v>
      </c>
      <c r="K160" s="159">
        <f t="shared" si="52"/>
        <v>1286</v>
      </c>
      <c r="L160" s="161">
        <f t="shared" si="53"/>
        <v>26955</v>
      </c>
      <c r="M160" s="118"/>
      <c r="N160" s="145">
        <v>3</v>
      </c>
      <c r="O160" s="159">
        <f t="shared" si="54"/>
        <v>1279</v>
      </c>
      <c r="P160" s="160">
        <f t="shared" si="55"/>
        <v>27213</v>
      </c>
      <c r="Q160" s="159">
        <f t="shared" si="56"/>
        <v>1298</v>
      </c>
      <c r="R160" s="161">
        <f t="shared" si="57"/>
        <v>26973</v>
      </c>
      <c r="S160" s="118"/>
      <c r="T160" s="139"/>
      <c r="U160" s="140"/>
      <c r="V160" s="140"/>
      <c r="W160" s="140"/>
      <c r="X160" s="140"/>
      <c r="Y160" s="122"/>
      <c r="Z160" s="122"/>
      <c r="AA160" s="56"/>
      <c r="AB160" s="56"/>
      <c r="AC160" s="56"/>
      <c r="AD160" s="56"/>
    </row>
    <row r="161" spans="2:30">
      <c r="B161" s="145">
        <v>4</v>
      </c>
      <c r="C161" s="159">
        <f t="shared" si="46"/>
        <v>1705</v>
      </c>
      <c r="D161" s="160">
        <f t="shared" si="47"/>
        <v>26904</v>
      </c>
      <c r="E161" s="159">
        <f t="shared" si="48"/>
        <v>1705</v>
      </c>
      <c r="F161" s="161">
        <f t="shared" si="49"/>
        <v>26904</v>
      </c>
      <c r="G161" s="126"/>
      <c r="H161" s="145">
        <v>4</v>
      </c>
      <c r="I161" s="159">
        <f t="shared" si="50"/>
        <v>1705</v>
      </c>
      <c r="J161" s="160">
        <f t="shared" si="51"/>
        <v>26896</v>
      </c>
      <c r="K161" s="159">
        <f t="shared" si="52"/>
        <v>1714</v>
      </c>
      <c r="L161" s="161">
        <f t="shared" si="53"/>
        <v>26640</v>
      </c>
      <c r="M161" s="127"/>
      <c r="N161" s="145">
        <v>4</v>
      </c>
      <c r="O161" s="159">
        <f t="shared" si="54"/>
        <v>1705</v>
      </c>
      <c r="P161" s="160">
        <f t="shared" si="55"/>
        <v>26884</v>
      </c>
      <c r="Q161" s="159">
        <f t="shared" si="56"/>
        <v>1731</v>
      </c>
      <c r="R161" s="161">
        <f t="shared" si="57"/>
        <v>26664</v>
      </c>
      <c r="S161" s="127"/>
      <c r="T161" s="139"/>
      <c r="U161" s="140"/>
      <c r="V161" s="140"/>
      <c r="W161" s="140"/>
      <c r="X161" s="140"/>
      <c r="Y161" s="122"/>
      <c r="Z161" s="122"/>
      <c r="AA161" s="56"/>
      <c r="AB161" s="56"/>
      <c r="AC161" s="56"/>
      <c r="AD161" s="56"/>
    </row>
    <row r="162" spans="2:30">
      <c r="B162" s="145">
        <v>5</v>
      </c>
      <c r="C162" s="159">
        <f t="shared" si="46"/>
        <v>2131</v>
      </c>
      <c r="D162" s="160">
        <f t="shared" si="47"/>
        <v>26580</v>
      </c>
      <c r="E162" s="159">
        <f t="shared" si="48"/>
        <v>2131</v>
      </c>
      <c r="F162" s="161">
        <f t="shared" si="49"/>
        <v>26580</v>
      </c>
      <c r="G162" s="128"/>
      <c r="H162" s="145">
        <v>5</v>
      </c>
      <c r="I162" s="159">
        <f t="shared" si="50"/>
        <v>2131</v>
      </c>
      <c r="J162" s="160">
        <f t="shared" si="51"/>
        <v>26570</v>
      </c>
      <c r="K162" s="159">
        <f t="shared" si="52"/>
        <v>2143</v>
      </c>
      <c r="L162" s="161">
        <f t="shared" si="53"/>
        <v>26325</v>
      </c>
      <c r="M162" s="127"/>
      <c r="N162" s="145">
        <v>5</v>
      </c>
      <c r="O162" s="159">
        <f t="shared" si="54"/>
        <v>2131</v>
      </c>
      <c r="P162" s="160">
        <f t="shared" si="55"/>
        <v>26555</v>
      </c>
      <c r="Q162" s="159">
        <f t="shared" si="56"/>
        <v>2163</v>
      </c>
      <c r="R162" s="161">
        <f t="shared" si="57"/>
        <v>26355</v>
      </c>
      <c r="S162" s="127"/>
      <c r="T162" s="139"/>
      <c r="U162" s="140"/>
      <c r="V162" s="140"/>
      <c r="W162" s="140"/>
      <c r="X162" s="140"/>
      <c r="Y162" s="122"/>
      <c r="Z162" s="122"/>
      <c r="AA162" s="56"/>
      <c r="AB162" s="56"/>
      <c r="AC162" s="56"/>
      <c r="AD162" s="56"/>
    </row>
    <row r="163" spans="2:30">
      <c r="B163" s="145">
        <v>6</v>
      </c>
      <c r="C163" s="159">
        <f t="shared" si="46"/>
        <v>2558</v>
      </c>
      <c r="D163" s="160">
        <f t="shared" si="47"/>
        <v>26256</v>
      </c>
      <c r="E163" s="159">
        <f t="shared" si="48"/>
        <v>2558</v>
      </c>
      <c r="F163" s="161">
        <f t="shared" si="49"/>
        <v>26256</v>
      </c>
      <c r="G163" s="128"/>
      <c r="H163" s="145">
        <v>6</v>
      </c>
      <c r="I163" s="159">
        <f t="shared" si="50"/>
        <v>2558</v>
      </c>
      <c r="J163" s="160">
        <f t="shared" si="51"/>
        <v>26244</v>
      </c>
      <c r="K163" s="159">
        <f t="shared" si="52"/>
        <v>2571</v>
      </c>
      <c r="L163" s="161">
        <f t="shared" si="53"/>
        <v>26010</v>
      </c>
      <c r="M163" s="127"/>
      <c r="N163" s="145">
        <v>6</v>
      </c>
      <c r="O163" s="159">
        <f t="shared" si="54"/>
        <v>2558</v>
      </c>
      <c r="P163" s="160">
        <f t="shared" si="55"/>
        <v>26226</v>
      </c>
      <c r="Q163" s="159">
        <f t="shared" si="56"/>
        <v>2596</v>
      </c>
      <c r="R163" s="161">
        <f t="shared" si="57"/>
        <v>26046</v>
      </c>
      <c r="S163" s="127"/>
      <c r="T163" s="139"/>
      <c r="U163" s="140"/>
      <c r="V163" s="140"/>
      <c r="W163" s="140"/>
      <c r="X163" s="140"/>
      <c r="Y163" s="122"/>
      <c r="Z163" s="122"/>
      <c r="AA163" s="56"/>
      <c r="AB163" s="56"/>
      <c r="AC163" s="56"/>
      <c r="AD163" s="56"/>
    </row>
    <row r="164" spans="2:30">
      <c r="B164" s="145">
        <v>7</v>
      </c>
      <c r="C164" s="159">
        <f t="shared" si="46"/>
        <v>2984</v>
      </c>
      <c r="D164" s="160">
        <f t="shared" si="47"/>
        <v>25932</v>
      </c>
      <c r="E164" s="159">
        <f t="shared" si="48"/>
        <v>2984</v>
      </c>
      <c r="F164" s="161">
        <f t="shared" si="49"/>
        <v>25932</v>
      </c>
      <c r="G164" s="128"/>
      <c r="H164" s="145">
        <v>7</v>
      </c>
      <c r="I164" s="159">
        <f t="shared" si="50"/>
        <v>2984</v>
      </c>
      <c r="J164" s="160">
        <f t="shared" si="51"/>
        <v>25918</v>
      </c>
      <c r="K164" s="159">
        <f t="shared" si="52"/>
        <v>3000</v>
      </c>
      <c r="L164" s="161">
        <f t="shared" si="53"/>
        <v>25695</v>
      </c>
      <c r="M164" s="127"/>
      <c r="N164" s="145">
        <v>7</v>
      </c>
      <c r="O164" s="159">
        <f t="shared" si="54"/>
        <v>2984</v>
      </c>
      <c r="P164" s="160">
        <f t="shared" si="55"/>
        <v>25897</v>
      </c>
      <c r="Q164" s="159">
        <f t="shared" si="56"/>
        <v>3029</v>
      </c>
      <c r="R164" s="161">
        <f t="shared" si="57"/>
        <v>25737</v>
      </c>
      <c r="S164" s="127"/>
      <c r="T164" s="139"/>
      <c r="U164" s="140"/>
      <c r="V164" s="140"/>
      <c r="W164" s="140"/>
      <c r="X164" s="140"/>
      <c r="Y164" s="122"/>
      <c r="Z164" s="122"/>
      <c r="AA164" s="56"/>
      <c r="AB164" s="56"/>
      <c r="AC164" s="56"/>
      <c r="AD164" s="56"/>
    </row>
    <row r="165" spans="2:30">
      <c r="B165" s="145">
        <v>8</v>
      </c>
      <c r="C165" s="159">
        <f t="shared" si="46"/>
        <v>3410</v>
      </c>
      <c r="D165" s="160">
        <f t="shared" si="47"/>
        <v>25608</v>
      </c>
      <c r="E165" s="159">
        <f t="shared" si="48"/>
        <v>3410</v>
      </c>
      <c r="F165" s="161">
        <f t="shared" si="49"/>
        <v>25608</v>
      </c>
      <c r="G165" s="128"/>
      <c r="H165" s="145">
        <v>8</v>
      </c>
      <c r="I165" s="159">
        <f t="shared" si="50"/>
        <v>3410</v>
      </c>
      <c r="J165" s="160">
        <f t="shared" si="51"/>
        <v>25592</v>
      </c>
      <c r="K165" s="159">
        <f t="shared" si="52"/>
        <v>3429</v>
      </c>
      <c r="L165" s="161">
        <f t="shared" si="53"/>
        <v>25380</v>
      </c>
      <c r="M165" s="127"/>
      <c r="N165" s="145">
        <v>8</v>
      </c>
      <c r="O165" s="159">
        <f t="shared" si="54"/>
        <v>3410</v>
      </c>
      <c r="P165" s="160">
        <f t="shared" si="55"/>
        <v>25568</v>
      </c>
      <c r="Q165" s="159">
        <f t="shared" si="56"/>
        <v>3462</v>
      </c>
      <c r="R165" s="161">
        <f t="shared" si="57"/>
        <v>25428</v>
      </c>
      <c r="S165" s="127"/>
      <c r="T165" s="139"/>
      <c r="U165" s="140"/>
      <c r="V165" s="140"/>
      <c r="W165" s="140"/>
      <c r="X165" s="140"/>
      <c r="Y165" s="122"/>
      <c r="Z165" s="122"/>
      <c r="AA165" s="56"/>
      <c r="AB165" s="56"/>
      <c r="AC165" s="56"/>
      <c r="AD165" s="56"/>
    </row>
    <row r="166" spans="2:30">
      <c r="B166" s="145">
        <v>9</v>
      </c>
      <c r="C166" s="159">
        <f t="shared" si="46"/>
        <v>3836</v>
      </c>
      <c r="D166" s="160">
        <f t="shared" si="47"/>
        <v>25284</v>
      </c>
      <c r="E166" s="159">
        <f t="shared" si="48"/>
        <v>3836</v>
      </c>
      <c r="F166" s="161">
        <f t="shared" si="49"/>
        <v>25284</v>
      </c>
      <c r="G166" s="128"/>
      <c r="H166" s="145">
        <v>9</v>
      </c>
      <c r="I166" s="159">
        <f t="shared" si="50"/>
        <v>3836</v>
      </c>
      <c r="J166" s="160">
        <f t="shared" si="51"/>
        <v>25266</v>
      </c>
      <c r="K166" s="159">
        <f t="shared" si="52"/>
        <v>3857</v>
      </c>
      <c r="L166" s="161">
        <f t="shared" si="53"/>
        <v>25065</v>
      </c>
      <c r="M166" s="127"/>
      <c r="N166" s="145">
        <v>9</v>
      </c>
      <c r="O166" s="159">
        <f t="shared" si="54"/>
        <v>3836</v>
      </c>
      <c r="P166" s="160">
        <f t="shared" si="55"/>
        <v>25239</v>
      </c>
      <c r="Q166" s="159">
        <f t="shared" si="56"/>
        <v>3894</v>
      </c>
      <c r="R166" s="161">
        <f t="shared" si="57"/>
        <v>25119</v>
      </c>
      <c r="S166" s="127"/>
      <c r="T166" s="139"/>
      <c r="U166" s="140"/>
      <c r="V166" s="140"/>
      <c r="W166" s="140"/>
      <c r="X166" s="140"/>
      <c r="Y166" s="122"/>
      <c r="Z166" s="122"/>
      <c r="AA166" s="56"/>
      <c r="AB166" s="56"/>
      <c r="AC166" s="56"/>
      <c r="AD166" s="56"/>
    </row>
    <row r="167" spans="2:30">
      <c r="B167" s="146">
        <v>10</v>
      </c>
      <c r="C167" s="162">
        <f t="shared" si="46"/>
        <v>4263</v>
      </c>
      <c r="D167" s="163">
        <f t="shared" si="47"/>
        <v>24960</v>
      </c>
      <c r="E167" s="162">
        <f t="shared" si="48"/>
        <v>4263</v>
      </c>
      <c r="F167" s="164">
        <f t="shared" si="49"/>
        <v>24960</v>
      </c>
      <c r="G167" s="128"/>
      <c r="H167" s="146">
        <v>10</v>
      </c>
      <c r="I167" s="162">
        <f t="shared" si="50"/>
        <v>4263</v>
      </c>
      <c r="J167" s="163">
        <f t="shared" si="51"/>
        <v>24940</v>
      </c>
      <c r="K167" s="162">
        <f t="shared" si="52"/>
        <v>4286</v>
      </c>
      <c r="L167" s="164">
        <f t="shared" si="53"/>
        <v>24750</v>
      </c>
      <c r="M167" s="127"/>
      <c r="N167" s="146">
        <v>10</v>
      </c>
      <c r="O167" s="162">
        <f t="shared" si="54"/>
        <v>4263</v>
      </c>
      <c r="P167" s="163">
        <f t="shared" si="55"/>
        <v>24910</v>
      </c>
      <c r="Q167" s="162">
        <f t="shared" si="56"/>
        <v>4327</v>
      </c>
      <c r="R167" s="164">
        <f t="shared" si="57"/>
        <v>24810</v>
      </c>
      <c r="S167" s="127"/>
      <c r="T167" s="139"/>
      <c r="U167" s="140"/>
      <c r="V167" s="140"/>
      <c r="W167" s="140"/>
      <c r="X167" s="140"/>
      <c r="Y167" s="122"/>
      <c r="Z167" s="122"/>
      <c r="AA167" s="56"/>
      <c r="AB167" s="56"/>
      <c r="AC167" s="56"/>
      <c r="AD167" s="56"/>
    </row>
    <row r="168" spans="2:30">
      <c r="B168" s="145">
        <v>11</v>
      </c>
      <c r="C168" s="159">
        <f t="shared" si="46"/>
        <v>4689</v>
      </c>
      <c r="D168" s="160">
        <f t="shared" si="47"/>
        <v>24636</v>
      </c>
      <c r="E168" s="159">
        <f t="shared" si="48"/>
        <v>4689</v>
      </c>
      <c r="F168" s="161">
        <f t="shared" si="49"/>
        <v>24636</v>
      </c>
      <c r="G168" s="128"/>
      <c r="H168" s="145">
        <v>11</v>
      </c>
      <c r="I168" s="159">
        <f t="shared" si="50"/>
        <v>4689</v>
      </c>
      <c r="J168" s="160">
        <f t="shared" si="51"/>
        <v>24614</v>
      </c>
      <c r="K168" s="159">
        <f t="shared" si="52"/>
        <v>4714</v>
      </c>
      <c r="L168" s="161">
        <f t="shared" si="53"/>
        <v>24435</v>
      </c>
      <c r="M168" s="127"/>
      <c r="N168" s="145">
        <v>11</v>
      </c>
      <c r="O168" s="159">
        <f t="shared" si="54"/>
        <v>4689</v>
      </c>
      <c r="P168" s="160">
        <f t="shared" si="55"/>
        <v>24581</v>
      </c>
      <c r="Q168" s="159">
        <f t="shared" si="56"/>
        <v>4760</v>
      </c>
      <c r="R168" s="161">
        <f t="shared" si="57"/>
        <v>24501</v>
      </c>
      <c r="S168" s="127"/>
      <c r="T168" s="139"/>
      <c r="U168" s="140"/>
      <c r="V168" s="140"/>
      <c r="W168" s="140"/>
      <c r="X168" s="140"/>
      <c r="Y168" s="122"/>
      <c r="Z168" s="122"/>
      <c r="AA168" s="56"/>
      <c r="AB168" s="56"/>
      <c r="AC168" s="56"/>
      <c r="AD168" s="56"/>
    </row>
    <row r="169" spans="2:30">
      <c r="B169" s="145">
        <v>12</v>
      </c>
      <c r="C169" s="159">
        <f t="shared" si="46"/>
        <v>5115</v>
      </c>
      <c r="D169" s="160">
        <f t="shared" si="47"/>
        <v>24312</v>
      </c>
      <c r="E169" s="159">
        <f t="shared" si="48"/>
        <v>5115</v>
      </c>
      <c r="F169" s="161">
        <f t="shared" si="49"/>
        <v>24312</v>
      </c>
      <c r="G169" s="128"/>
      <c r="H169" s="145">
        <v>12</v>
      </c>
      <c r="I169" s="159">
        <f t="shared" si="50"/>
        <v>5115</v>
      </c>
      <c r="J169" s="160">
        <f t="shared" si="51"/>
        <v>24288</v>
      </c>
      <c r="K169" s="159">
        <f t="shared" si="52"/>
        <v>5143</v>
      </c>
      <c r="L169" s="161">
        <f t="shared" si="53"/>
        <v>24120</v>
      </c>
      <c r="M169" s="127"/>
      <c r="N169" s="145">
        <v>12</v>
      </c>
      <c r="O169" s="159">
        <f t="shared" si="54"/>
        <v>5115</v>
      </c>
      <c r="P169" s="160">
        <f t="shared" si="55"/>
        <v>24252</v>
      </c>
      <c r="Q169" s="159">
        <f t="shared" si="56"/>
        <v>5192</v>
      </c>
      <c r="R169" s="161">
        <f t="shared" si="57"/>
        <v>24192</v>
      </c>
      <c r="S169" s="127"/>
      <c r="T169" s="139"/>
      <c r="U169" s="140"/>
      <c r="V169" s="140"/>
      <c r="W169" s="140"/>
      <c r="X169" s="140"/>
      <c r="Y169" s="122"/>
      <c r="Z169" s="122"/>
      <c r="AA169" s="56"/>
      <c r="AB169" s="56"/>
      <c r="AC169" s="56"/>
      <c r="AD169" s="56"/>
    </row>
    <row r="170" spans="2:30">
      <c r="B170" s="145">
        <v>13</v>
      </c>
      <c r="C170" s="159">
        <f t="shared" si="46"/>
        <v>5541</v>
      </c>
      <c r="D170" s="160">
        <f t="shared" si="47"/>
        <v>23988</v>
      </c>
      <c r="E170" s="159">
        <f t="shared" si="48"/>
        <v>5541</v>
      </c>
      <c r="F170" s="161">
        <f t="shared" si="49"/>
        <v>23988</v>
      </c>
      <c r="G170" s="128"/>
      <c r="H170" s="145">
        <v>13</v>
      </c>
      <c r="I170" s="159">
        <f t="shared" si="50"/>
        <v>5541</v>
      </c>
      <c r="J170" s="160">
        <f t="shared" si="51"/>
        <v>23962</v>
      </c>
      <c r="K170" s="159">
        <f t="shared" si="52"/>
        <v>5571</v>
      </c>
      <c r="L170" s="161">
        <f t="shared" si="53"/>
        <v>23805</v>
      </c>
      <c r="M170" s="127"/>
      <c r="N170" s="145">
        <v>13</v>
      </c>
      <c r="O170" s="159">
        <f t="shared" si="54"/>
        <v>5541</v>
      </c>
      <c r="P170" s="160">
        <f t="shared" si="55"/>
        <v>23923</v>
      </c>
      <c r="Q170" s="159">
        <f t="shared" si="56"/>
        <v>5625</v>
      </c>
      <c r="R170" s="161">
        <f t="shared" si="57"/>
        <v>23883</v>
      </c>
      <c r="S170" s="127"/>
      <c r="T170" s="139"/>
      <c r="U170" s="140"/>
      <c r="V170" s="140"/>
      <c r="W170" s="140"/>
      <c r="X170" s="140"/>
      <c r="Y170" s="122"/>
      <c r="Z170" s="122"/>
      <c r="AA170" s="56"/>
      <c r="AB170" s="56"/>
      <c r="AC170" s="56"/>
      <c r="AD170" s="56"/>
    </row>
    <row r="171" spans="2:30">
      <c r="B171" s="145">
        <v>14</v>
      </c>
      <c r="C171" s="159">
        <f t="shared" si="46"/>
        <v>5968</v>
      </c>
      <c r="D171" s="160">
        <f t="shared" si="47"/>
        <v>23664</v>
      </c>
      <c r="E171" s="159">
        <f t="shared" si="48"/>
        <v>5968</v>
      </c>
      <c r="F171" s="161">
        <f t="shared" si="49"/>
        <v>23664</v>
      </c>
      <c r="G171" s="128"/>
      <c r="H171" s="145">
        <v>14</v>
      </c>
      <c r="I171" s="159">
        <f t="shared" si="50"/>
        <v>5968</v>
      </c>
      <c r="J171" s="160">
        <f t="shared" si="51"/>
        <v>23636</v>
      </c>
      <c r="K171" s="159">
        <f t="shared" si="52"/>
        <v>6000</v>
      </c>
      <c r="L171" s="161">
        <f t="shared" si="53"/>
        <v>23490</v>
      </c>
      <c r="M171" s="127"/>
      <c r="N171" s="145">
        <v>14</v>
      </c>
      <c r="O171" s="159">
        <f t="shared" si="54"/>
        <v>5968</v>
      </c>
      <c r="P171" s="160">
        <f t="shared" si="55"/>
        <v>23594</v>
      </c>
      <c r="Q171" s="159">
        <f t="shared" si="56"/>
        <v>6058</v>
      </c>
      <c r="R171" s="161">
        <f t="shared" si="57"/>
        <v>23574</v>
      </c>
      <c r="S171" s="127"/>
      <c r="T171" s="139"/>
      <c r="U171" s="140"/>
      <c r="V171" s="140"/>
      <c r="W171" s="140"/>
      <c r="X171" s="140"/>
      <c r="Y171" s="122"/>
      <c r="Z171" s="122"/>
      <c r="AA171" s="56"/>
      <c r="AB171" s="56"/>
      <c r="AC171" s="56"/>
      <c r="AD171" s="56"/>
    </row>
    <row r="172" spans="2:30">
      <c r="B172" s="145">
        <v>15</v>
      </c>
      <c r="C172" s="159">
        <f t="shared" si="46"/>
        <v>6394</v>
      </c>
      <c r="D172" s="160">
        <f t="shared" si="47"/>
        <v>23340</v>
      </c>
      <c r="E172" s="159">
        <f t="shared" si="48"/>
        <v>6394</v>
      </c>
      <c r="F172" s="161">
        <f t="shared" si="49"/>
        <v>23340</v>
      </c>
      <c r="G172" s="128"/>
      <c r="H172" s="145">
        <v>15</v>
      </c>
      <c r="I172" s="159">
        <f t="shared" si="50"/>
        <v>6394</v>
      </c>
      <c r="J172" s="160">
        <f t="shared" si="51"/>
        <v>23310</v>
      </c>
      <c r="K172" s="159">
        <f t="shared" si="52"/>
        <v>6429</v>
      </c>
      <c r="L172" s="161">
        <f t="shared" si="53"/>
        <v>23175</v>
      </c>
      <c r="M172" s="127"/>
      <c r="N172" s="145">
        <v>15</v>
      </c>
      <c r="O172" s="159">
        <f t="shared" si="54"/>
        <v>6394</v>
      </c>
      <c r="P172" s="160">
        <f t="shared" si="55"/>
        <v>23265</v>
      </c>
      <c r="Q172" s="159">
        <f t="shared" si="56"/>
        <v>6490</v>
      </c>
      <c r="R172" s="161">
        <f t="shared" si="57"/>
        <v>23265</v>
      </c>
      <c r="S172" s="127"/>
      <c r="T172" s="139"/>
      <c r="U172" s="140"/>
      <c r="V172" s="140"/>
      <c r="W172" s="140"/>
      <c r="X172" s="140"/>
      <c r="Y172" s="122"/>
      <c r="Z172" s="122"/>
      <c r="AA172" s="56"/>
      <c r="AB172" s="56"/>
      <c r="AC172" s="56"/>
      <c r="AD172" s="56"/>
    </row>
    <row r="173" spans="2:30">
      <c r="B173" s="145">
        <v>16</v>
      </c>
      <c r="C173" s="159">
        <f t="shared" si="46"/>
        <v>6820</v>
      </c>
      <c r="D173" s="160">
        <f t="shared" si="47"/>
        <v>23016</v>
      </c>
      <c r="E173" s="159">
        <f t="shared" si="48"/>
        <v>6820</v>
      </c>
      <c r="F173" s="161">
        <f t="shared" si="49"/>
        <v>23016</v>
      </c>
      <c r="G173" s="128"/>
      <c r="H173" s="145">
        <v>16</v>
      </c>
      <c r="I173" s="159">
        <f t="shared" si="50"/>
        <v>6820</v>
      </c>
      <c r="J173" s="160">
        <f t="shared" si="51"/>
        <v>22984</v>
      </c>
      <c r="K173" s="159">
        <f t="shared" si="52"/>
        <v>6857</v>
      </c>
      <c r="L173" s="161">
        <f t="shared" si="53"/>
        <v>22860</v>
      </c>
      <c r="M173" s="127"/>
      <c r="N173" s="145">
        <v>16</v>
      </c>
      <c r="O173" s="159">
        <f t="shared" si="54"/>
        <v>6820</v>
      </c>
      <c r="P173" s="160">
        <f t="shared" si="55"/>
        <v>22936</v>
      </c>
      <c r="Q173" s="159">
        <f t="shared" si="56"/>
        <v>6923</v>
      </c>
      <c r="R173" s="161">
        <f t="shared" si="57"/>
        <v>22956</v>
      </c>
      <c r="S173" s="127"/>
      <c r="T173" s="139"/>
      <c r="U173" s="140"/>
      <c r="V173" s="140"/>
      <c r="W173" s="140"/>
      <c r="X173" s="140"/>
      <c r="Y173" s="122"/>
      <c r="Z173" s="122"/>
      <c r="AA173" s="56"/>
      <c r="AB173" s="56"/>
      <c r="AC173" s="56"/>
      <c r="AD173" s="56"/>
    </row>
    <row r="174" spans="2:30">
      <c r="B174" s="145">
        <v>17</v>
      </c>
      <c r="C174" s="159">
        <f t="shared" si="46"/>
        <v>7246</v>
      </c>
      <c r="D174" s="160">
        <f t="shared" si="47"/>
        <v>22692</v>
      </c>
      <c r="E174" s="159">
        <f t="shared" si="48"/>
        <v>7246</v>
      </c>
      <c r="F174" s="161">
        <f t="shared" si="49"/>
        <v>22692</v>
      </c>
      <c r="G174" s="128"/>
      <c r="H174" s="145">
        <v>17</v>
      </c>
      <c r="I174" s="159">
        <f t="shared" si="50"/>
        <v>7246</v>
      </c>
      <c r="J174" s="160">
        <f t="shared" si="51"/>
        <v>22658</v>
      </c>
      <c r="K174" s="159">
        <f t="shared" si="52"/>
        <v>7286</v>
      </c>
      <c r="L174" s="161">
        <f t="shared" si="53"/>
        <v>22545</v>
      </c>
      <c r="M174" s="127"/>
      <c r="N174" s="145">
        <v>17</v>
      </c>
      <c r="O174" s="159">
        <f t="shared" si="54"/>
        <v>7246</v>
      </c>
      <c r="P174" s="160">
        <f t="shared" si="55"/>
        <v>22607</v>
      </c>
      <c r="Q174" s="159">
        <f t="shared" si="56"/>
        <v>7356</v>
      </c>
      <c r="R174" s="161">
        <f t="shared" si="57"/>
        <v>22647</v>
      </c>
      <c r="S174" s="127"/>
      <c r="T174" s="139"/>
      <c r="U174" s="140"/>
      <c r="V174" s="140"/>
      <c r="W174" s="140"/>
      <c r="X174" s="140"/>
      <c r="Y174" s="122"/>
      <c r="Z174" s="122"/>
      <c r="AA174" s="56"/>
      <c r="AB174" s="56"/>
      <c r="AC174" s="56"/>
      <c r="AD174" s="56"/>
    </row>
    <row r="175" spans="2:30">
      <c r="B175" s="145">
        <v>18</v>
      </c>
      <c r="C175" s="159">
        <f t="shared" si="46"/>
        <v>7673</v>
      </c>
      <c r="D175" s="160">
        <f t="shared" si="47"/>
        <v>22368</v>
      </c>
      <c r="E175" s="159">
        <f t="shared" si="48"/>
        <v>7673</v>
      </c>
      <c r="F175" s="161">
        <f t="shared" si="49"/>
        <v>22368</v>
      </c>
      <c r="G175" s="128"/>
      <c r="H175" s="145">
        <v>18</v>
      </c>
      <c r="I175" s="159">
        <f t="shared" si="50"/>
        <v>7673</v>
      </c>
      <c r="J175" s="160">
        <f t="shared" si="51"/>
        <v>22332</v>
      </c>
      <c r="K175" s="159">
        <f t="shared" si="52"/>
        <v>7714</v>
      </c>
      <c r="L175" s="161">
        <f t="shared" si="53"/>
        <v>22230</v>
      </c>
      <c r="M175" s="127"/>
      <c r="N175" s="145">
        <v>18</v>
      </c>
      <c r="O175" s="159">
        <f t="shared" si="54"/>
        <v>7673</v>
      </c>
      <c r="P175" s="160">
        <f t="shared" si="55"/>
        <v>22278</v>
      </c>
      <c r="Q175" s="159">
        <f t="shared" si="56"/>
        <v>7788</v>
      </c>
      <c r="R175" s="161">
        <f t="shared" si="57"/>
        <v>22338</v>
      </c>
      <c r="S175" s="127"/>
      <c r="T175" s="139"/>
      <c r="U175" s="140"/>
      <c r="V175" s="140"/>
      <c r="W175" s="140"/>
      <c r="X175" s="140"/>
      <c r="Y175" s="122"/>
      <c r="Z175" s="122"/>
      <c r="AA175" s="56"/>
      <c r="AB175" s="56"/>
      <c r="AC175" s="56"/>
      <c r="AD175" s="56"/>
    </row>
    <row r="176" spans="2:30">
      <c r="B176" s="145">
        <v>19</v>
      </c>
      <c r="C176" s="159">
        <f t="shared" si="46"/>
        <v>8099</v>
      </c>
      <c r="D176" s="160">
        <f t="shared" si="47"/>
        <v>22044</v>
      </c>
      <c r="E176" s="159">
        <f t="shared" si="48"/>
        <v>8099</v>
      </c>
      <c r="F176" s="161">
        <f t="shared" si="49"/>
        <v>22044</v>
      </c>
      <c r="G176" s="128"/>
      <c r="H176" s="145">
        <v>19</v>
      </c>
      <c r="I176" s="159">
        <f t="shared" si="50"/>
        <v>8099</v>
      </c>
      <c r="J176" s="160">
        <f t="shared" si="51"/>
        <v>22006</v>
      </c>
      <c r="K176" s="159">
        <f t="shared" si="52"/>
        <v>8143</v>
      </c>
      <c r="L176" s="161">
        <f t="shared" si="53"/>
        <v>21915</v>
      </c>
      <c r="M176" s="127"/>
      <c r="N176" s="145">
        <v>19</v>
      </c>
      <c r="O176" s="159">
        <f t="shared" si="54"/>
        <v>8099</v>
      </c>
      <c r="P176" s="160">
        <f t="shared" si="55"/>
        <v>21949</v>
      </c>
      <c r="Q176" s="159">
        <f t="shared" si="56"/>
        <v>8221</v>
      </c>
      <c r="R176" s="161">
        <f t="shared" si="57"/>
        <v>22029</v>
      </c>
      <c r="S176" s="127"/>
      <c r="T176" s="139"/>
      <c r="U176" s="140"/>
      <c r="V176" s="140"/>
      <c r="W176" s="140"/>
      <c r="X176" s="140"/>
      <c r="Y176" s="122"/>
      <c r="Z176" s="122"/>
      <c r="AA176" s="56"/>
      <c r="AB176" s="56"/>
      <c r="AC176" s="56"/>
      <c r="AD176" s="56"/>
    </row>
    <row r="177" spans="2:30">
      <c r="B177" s="146">
        <v>20</v>
      </c>
      <c r="C177" s="162">
        <f t="shared" si="46"/>
        <v>8525</v>
      </c>
      <c r="D177" s="163">
        <f t="shared" si="47"/>
        <v>21720</v>
      </c>
      <c r="E177" s="162">
        <f t="shared" si="48"/>
        <v>8525</v>
      </c>
      <c r="F177" s="164">
        <f t="shared" si="49"/>
        <v>21720</v>
      </c>
      <c r="G177" s="128"/>
      <c r="H177" s="146">
        <v>20</v>
      </c>
      <c r="I177" s="162">
        <f t="shared" si="50"/>
        <v>8525</v>
      </c>
      <c r="J177" s="163">
        <f t="shared" si="51"/>
        <v>21680</v>
      </c>
      <c r="K177" s="162">
        <f t="shared" si="52"/>
        <v>8571</v>
      </c>
      <c r="L177" s="164">
        <f t="shared" si="53"/>
        <v>21600</v>
      </c>
      <c r="M177" s="127"/>
      <c r="N177" s="146">
        <v>20</v>
      </c>
      <c r="O177" s="162">
        <f t="shared" si="54"/>
        <v>8525</v>
      </c>
      <c r="P177" s="163">
        <f t="shared" si="55"/>
        <v>21620</v>
      </c>
      <c r="Q177" s="162">
        <f t="shared" si="56"/>
        <v>8654</v>
      </c>
      <c r="R177" s="164">
        <f t="shared" si="57"/>
        <v>21720</v>
      </c>
      <c r="S177" s="127"/>
      <c r="T177" s="139"/>
      <c r="U177" s="140"/>
      <c r="V177" s="140"/>
      <c r="W177" s="140"/>
      <c r="X177" s="140"/>
      <c r="Y177" s="122"/>
      <c r="Z177" s="122"/>
      <c r="AA177" s="56"/>
      <c r="AB177" s="56"/>
      <c r="AC177" s="56"/>
      <c r="AD177" s="56"/>
    </row>
    <row r="178" spans="2:30">
      <c r="B178" s="145">
        <v>21</v>
      </c>
      <c r="C178" s="159">
        <f t="shared" si="46"/>
        <v>8951</v>
      </c>
      <c r="D178" s="160">
        <f t="shared" si="47"/>
        <v>21396</v>
      </c>
      <c r="E178" s="159">
        <f t="shared" si="48"/>
        <v>8951</v>
      </c>
      <c r="F178" s="161">
        <f t="shared" si="49"/>
        <v>21396</v>
      </c>
      <c r="G178" s="128"/>
      <c r="H178" s="145">
        <v>21</v>
      </c>
      <c r="I178" s="159">
        <f t="shared" si="50"/>
        <v>8951</v>
      </c>
      <c r="J178" s="160">
        <f t="shared" si="51"/>
        <v>21354</v>
      </c>
      <c r="K178" s="159">
        <f t="shared" si="52"/>
        <v>9000</v>
      </c>
      <c r="L178" s="161">
        <f t="shared" si="53"/>
        <v>21285</v>
      </c>
      <c r="M178" s="127"/>
      <c r="N178" s="145">
        <v>21</v>
      </c>
      <c r="O178" s="159">
        <f t="shared" si="54"/>
        <v>8951</v>
      </c>
      <c r="P178" s="160">
        <f t="shared" si="55"/>
        <v>21291</v>
      </c>
      <c r="Q178" s="159">
        <f t="shared" si="56"/>
        <v>9087</v>
      </c>
      <c r="R178" s="161">
        <f t="shared" si="57"/>
        <v>21411</v>
      </c>
      <c r="S178" s="127"/>
      <c r="T178" s="139"/>
      <c r="U178" s="140"/>
      <c r="V178" s="140"/>
      <c r="W178" s="140"/>
      <c r="X178" s="140"/>
      <c r="Y178" s="122"/>
      <c r="Z178" s="122"/>
      <c r="AA178" s="56"/>
      <c r="AB178" s="56"/>
      <c r="AC178" s="56"/>
      <c r="AD178" s="56"/>
    </row>
    <row r="179" spans="2:30">
      <c r="B179" s="145">
        <v>22</v>
      </c>
      <c r="C179" s="159">
        <f t="shared" si="46"/>
        <v>9378</v>
      </c>
      <c r="D179" s="160">
        <f t="shared" si="47"/>
        <v>21072</v>
      </c>
      <c r="E179" s="159">
        <f t="shared" si="48"/>
        <v>9378</v>
      </c>
      <c r="F179" s="161">
        <f t="shared" si="49"/>
        <v>21072</v>
      </c>
      <c r="G179" s="128"/>
      <c r="H179" s="145">
        <v>22</v>
      </c>
      <c r="I179" s="159">
        <f t="shared" si="50"/>
        <v>9378</v>
      </c>
      <c r="J179" s="160">
        <f t="shared" si="51"/>
        <v>21028</v>
      </c>
      <c r="K179" s="159">
        <f t="shared" si="52"/>
        <v>9429</v>
      </c>
      <c r="L179" s="161">
        <f t="shared" si="53"/>
        <v>20970</v>
      </c>
      <c r="M179" s="127"/>
      <c r="N179" s="145">
        <v>22</v>
      </c>
      <c r="O179" s="159">
        <f t="shared" si="54"/>
        <v>9378</v>
      </c>
      <c r="P179" s="160">
        <f t="shared" si="55"/>
        <v>20962</v>
      </c>
      <c r="Q179" s="159">
        <f t="shared" si="56"/>
        <v>9519</v>
      </c>
      <c r="R179" s="161">
        <f t="shared" si="57"/>
        <v>21102</v>
      </c>
      <c r="S179" s="127"/>
      <c r="T179" s="139"/>
      <c r="U179" s="140"/>
      <c r="V179" s="140"/>
      <c r="W179" s="140"/>
      <c r="X179" s="140"/>
      <c r="Y179" s="122"/>
      <c r="Z179" s="122"/>
      <c r="AA179" s="56"/>
      <c r="AB179" s="56"/>
      <c r="AC179" s="56"/>
      <c r="AD179" s="56"/>
    </row>
    <row r="180" spans="2:30">
      <c r="B180" s="145">
        <v>23</v>
      </c>
      <c r="C180" s="159">
        <f t="shared" si="46"/>
        <v>9804</v>
      </c>
      <c r="D180" s="160">
        <f t="shared" si="47"/>
        <v>20748</v>
      </c>
      <c r="E180" s="159">
        <f t="shared" si="48"/>
        <v>9804</v>
      </c>
      <c r="F180" s="161">
        <f t="shared" si="49"/>
        <v>20748</v>
      </c>
      <c r="G180" s="128"/>
      <c r="H180" s="145">
        <v>23</v>
      </c>
      <c r="I180" s="159">
        <f t="shared" si="50"/>
        <v>9804</v>
      </c>
      <c r="J180" s="160">
        <f t="shared" si="51"/>
        <v>20702</v>
      </c>
      <c r="K180" s="159">
        <f t="shared" si="52"/>
        <v>9857</v>
      </c>
      <c r="L180" s="161">
        <f t="shared" si="53"/>
        <v>20655</v>
      </c>
      <c r="M180" s="127"/>
      <c r="N180" s="145">
        <v>23</v>
      </c>
      <c r="O180" s="159">
        <f t="shared" si="54"/>
        <v>9804</v>
      </c>
      <c r="P180" s="160">
        <f t="shared" si="55"/>
        <v>20633</v>
      </c>
      <c r="Q180" s="159">
        <f t="shared" si="56"/>
        <v>9952</v>
      </c>
      <c r="R180" s="161">
        <f t="shared" si="57"/>
        <v>20793</v>
      </c>
      <c r="S180" s="127"/>
      <c r="T180" s="139"/>
      <c r="U180" s="140"/>
      <c r="V180" s="140"/>
      <c r="W180" s="140"/>
      <c r="X180" s="140"/>
      <c r="Y180" s="122"/>
      <c r="Z180" s="122"/>
      <c r="AA180" s="56"/>
      <c r="AB180" s="56"/>
      <c r="AC180" s="56"/>
      <c r="AD180" s="56"/>
    </row>
    <row r="181" spans="2:30">
      <c r="B181" s="145">
        <v>24</v>
      </c>
      <c r="C181" s="159">
        <f t="shared" si="46"/>
        <v>10230</v>
      </c>
      <c r="D181" s="160">
        <f t="shared" si="47"/>
        <v>20424</v>
      </c>
      <c r="E181" s="159">
        <f t="shared" si="48"/>
        <v>10230</v>
      </c>
      <c r="F181" s="161">
        <f t="shared" si="49"/>
        <v>20424</v>
      </c>
      <c r="G181" s="128"/>
      <c r="H181" s="145">
        <v>24</v>
      </c>
      <c r="I181" s="159">
        <f t="shared" si="50"/>
        <v>10230</v>
      </c>
      <c r="J181" s="160">
        <f t="shared" si="51"/>
        <v>20376</v>
      </c>
      <c r="K181" s="159">
        <f t="shared" si="52"/>
        <v>10286</v>
      </c>
      <c r="L181" s="161">
        <f t="shared" si="53"/>
        <v>20340</v>
      </c>
      <c r="M181" s="127"/>
      <c r="N181" s="145">
        <v>24</v>
      </c>
      <c r="O181" s="159">
        <f t="shared" si="54"/>
        <v>10230</v>
      </c>
      <c r="P181" s="160">
        <f t="shared" si="55"/>
        <v>20304</v>
      </c>
      <c r="Q181" s="159">
        <f t="shared" si="56"/>
        <v>10385</v>
      </c>
      <c r="R181" s="161">
        <f t="shared" si="57"/>
        <v>20484</v>
      </c>
      <c r="S181" s="127"/>
      <c r="T181" s="139"/>
      <c r="U181" s="140"/>
      <c r="V181" s="140"/>
      <c r="W181" s="140"/>
      <c r="X181" s="140"/>
      <c r="Y181" s="122"/>
      <c r="Z181" s="122"/>
      <c r="AA181" s="56"/>
      <c r="AB181" s="56"/>
      <c r="AC181" s="56"/>
      <c r="AD181" s="56"/>
    </row>
    <row r="182" spans="2:30">
      <c r="B182" s="145">
        <v>25</v>
      </c>
      <c r="C182" s="159">
        <f t="shared" si="46"/>
        <v>10656</v>
      </c>
      <c r="D182" s="160">
        <f t="shared" si="47"/>
        <v>20100</v>
      </c>
      <c r="E182" s="159">
        <f t="shared" si="48"/>
        <v>10656</v>
      </c>
      <c r="F182" s="161">
        <f t="shared" si="49"/>
        <v>20100</v>
      </c>
      <c r="G182" s="128"/>
      <c r="H182" s="145">
        <v>25</v>
      </c>
      <c r="I182" s="159">
        <f t="shared" si="50"/>
        <v>10656</v>
      </c>
      <c r="J182" s="160">
        <f t="shared" si="51"/>
        <v>20050</v>
      </c>
      <c r="K182" s="159">
        <f t="shared" si="52"/>
        <v>10714</v>
      </c>
      <c r="L182" s="161">
        <f t="shared" si="53"/>
        <v>20025</v>
      </c>
      <c r="M182" s="127"/>
      <c r="N182" s="145">
        <v>25</v>
      </c>
      <c r="O182" s="159">
        <f t="shared" si="54"/>
        <v>10656</v>
      </c>
      <c r="P182" s="160">
        <f t="shared" si="55"/>
        <v>19975</v>
      </c>
      <c r="Q182" s="159">
        <f t="shared" si="56"/>
        <v>10817</v>
      </c>
      <c r="R182" s="161">
        <f t="shared" si="57"/>
        <v>20175</v>
      </c>
      <c r="S182" s="127"/>
      <c r="T182" s="139"/>
      <c r="U182" s="140"/>
      <c r="V182" s="140"/>
      <c r="W182" s="140"/>
      <c r="X182" s="140"/>
      <c r="Y182" s="122"/>
      <c r="Z182" s="122"/>
      <c r="AA182" s="56"/>
      <c r="AB182" s="56"/>
      <c r="AC182" s="56"/>
      <c r="AD182" s="56"/>
    </row>
    <row r="183" spans="2:30">
      <c r="B183" s="145">
        <v>26</v>
      </c>
      <c r="C183" s="159">
        <f t="shared" si="46"/>
        <v>11083</v>
      </c>
      <c r="D183" s="160">
        <f t="shared" si="47"/>
        <v>19776</v>
      </c>
      <c r="E183" s="159">
        <f t="shared" si="48"/>
        <v>11083</v>
      </c>
      <c r="F183" s="161">
        <f t="shared" si="49"/>
        <v>19776</v>
      </c>
      <c r="G183" s="128"/>
      <c r="H183" s="145">
        <v>26</v>
      </c>
      <c r="I183" s="159">
        <f t="shared" si="50"/>
        <v>11083</v>
      </c>
      <c r="J183" s="160">
        <f t="shared" si="51"/>
        <v>19724</v>
      </c>
      <c r="K183" s="159">
        <f t="shared" si="52"/>
        <v>11143</v>
      </c>
      <c r="L183" s="161">
        <f t="shared" si="53"/>
        <v>19710</v>
      </c>
      <c r="M183" s="127"/>
      <c r="N183" s="145">
        <v>26</v>
      </c>
      <c r="O183" s="159">
        <f t="shared" si="54"/>
        <v>11083</v>
      </c>
      <c r="P183" s="160">
        <f t="shared" si="55"/>
        <v>19646</v>
      </c>
      <c r="Q183" s="159">
        <f t="shared" si="56"/>
        <v>11250</v>
      </c>
      <c r="R183" s="161">
        <f t="shared" si="57"/>
        <v>19866</v>
      </c>
      <c r="S183" s="127"/>
      <c r="T183" s="139"/>
      <c r="U183" s="140"/>
      <c r="V183" s="140"/>
      <c r="W183" s="140"/>
      <c r="X183" s="140"/>
      <c r="Y183" s="122"/>
      <c r="Z183" s="122"/>
      <c r="AA183" s="56"/>
      <c r="AB183" s="56"/>
      <c r="AC183" s="56"/>
      <c r="AD183" s="56"/>
    </row>
    <row r="184" spans="2:30">
      <c r="B184" s="145">
        <v>27</v>
      </c>
      <c r="C184" s="159">
        <f t="shared" si="46"/>
        <v>11509</v>
      </c>
      <c r="D184" s="160">
        <f t="shared" si="47"/>
        <v>19452</v>
      </c>
      <c r="E184" s="159">
        <f t="shared" si="48"/>
        <v>11509</v>
      </c>
      <c r="F184" s="161">
        <f t="shared" si="49"/>
        <v>19452</v>
      </c>
      <c r="G184" s="128"/>
      <c r="H184" s="145">
        <v>27</v>
      </c>
      <c r="I184" s="159">
        <f t="shared" si="50"/>
        <v>11509</v>
      </c>
      <c r="J184" s="160">
        <f t="shared" si="51"/>
        <v>19398</v>
      </c>
      <c r="K184" s="159">
        <f t="shared" si="52"/>
        <v>11571</v>
      </c>
      <c r="L184" s="161">
        <f t="shared" si="53"/>
        <v>19395</v>
      </c>
      <c r="M184" s="127"/>
      <c r="N184" s="145">
        <v>27</v>
      </c>
      <c r="O184" s="159">
        <f t="shared" si="54"/>
        <v>11509</v>
      </c>
      <c r="P184" s="160">
        <f t="shared" si="55"/>
        <v>19317</v>
      </c>
      <c r="Q184" s="159">
        <f t="shared" si="56"/>
        <v>11683</v>
      </c>
      <c r="R184" s="161">
        <f t="shared" si="57"/>
        <v>19557</v>
      </c>
      <c r="S184" s="127"/>
      <c r="T184" s="139"/>
      <c r="U184" s="140"/>
      <c r="V184" s="140"/>
      <c r="W184" s="140"/>
      <c r="X184" s="140"/>
      <c r="Y184" s="122"/>
      <c r="Z184" s="122"/>
      <c r="AA184" s="56"/>
      <c r="AB184" s="56"/>
      <c r="AC184" s="56"/>
      <c r="AD184" s="56"/>
    </row>
    <row r="185" spans="2:30">
      <c r="B185" s="145">
        <v>28</v>
      </c>
      <c r="C185" s="159">
        <f t="shared" si="46"/>
        <v>11935</v>
      </c>
      <c r="D185" s="160">
        <f t="shared" si="47"/>
        <v>19128</v>
      </c>
      <c r="E185" s="159">
        <f t="shared" si="48"/>
        <v>11935</v>
      </c>
      <c r="F185" s="161">
        <f t="shared" si="49"/>
        <v>19128</v>
      </c>
      <c r="G185" s="128"/>
      <c r="H185" s="145">
        <v>28</v>
      </c>
      <c r="I185" s="159">
        <f t="shared" si="50"/>
        <v>11935</v>
      </c>
      <c r="J185" s="160">
        <f t="shared" si="51"/>
        <v>19072</v>
      </c>
      <c r="K185" s="159">
        <f t="shared" si="52"/>
        <v>12000</v>
      </c>
      <c r="L185" s="161">
        <f t="shared" si="53"/>
        <v>19080</v>
      </c>
      <c r="M185" s="127"/>
      <c r="N185" s="145">
        <v>28</v>
      </c>
      <c r="O185" s="159">
        <f t="shared" si="54"/>
        <v>11935</v>
      </c>
      <c r="P185" s="160">
        <f t="shared" si="55"/>
        <v>18988</v>
      </c>
      <c r="Q185" s="159">
        <f t="shared" si="56"/>
        <v>12115</v>
      </c>
      <c r="R185" s="161">
        <f t="shared" si="57"/>
        <v>19248</v>
      </c>
      <c r="S185" s="127"/>
      <c r="T185" s="139"/>
      <c r="U185" s="140"/>
      <c r="V185" s="140"/>
      <c r="W185" s="140"/>
      <c r="X185" s="140"/>
      <c r="Y185" s="122"/>
      <c r="Z185" s="122"/>
      <c r="AA185" s="56"/>
      <c r="AB185" s="56"/>
      <c r="AC185" s="56"/>
      <c r="AD185" s="56"/>
    </row>
    <row r="186" spans="2:30">
      <c r="B186" s="145">
        <v>29</v>
      </c>
      <c r="C186" s="159">
        <f t="shared" si="46"/>
        <v>12361</v>
      </c>
      <c r="D186" s="160">
        <f t="shared" si="47"/>
        <v>18804</v>
      </c>
      <c r="E186" s="159">
        <f t="shared" si="48"/>
        <v>12361</v>
      </c>
      <c r="F186" s="161">
        <f t="shared" si="49"/>
        <v>18804</v>
      </c>
      <c r="G186" s="128"/>
      <c r="H186" s="145">
        <v>29</v>
      </c>
      <c r="I186" s="159">
        <f t="shared" si="50"/>
        <v>12361</v>
      </c>
      <c r="J186" s="160">
        <f t="shared" si="51"/>
        <v>18746</v>
      </c>
      <c r="K186" s="159">
        <f t="shared" si="52"/>
        <v>12429</v>
      </c>
      <c r="L186" s="161">
        <f t="shared" si="53"/>
        <v>18765</v>
      </c>
      <c r="M186" s="127"/>
      <c r="N186" s="145">
        <v>29</v>
      </c>
      <c r="O186" s="159">
        <f t="shared" si="54"/>
        <v>12361</v>
      </c>
      <c r="P186" s="160">
        <f t="shared" si="55"/>
        <v>18659</v>
      </c>
      <c r="Q186" s="159">
        <f t="shared" si="56"/>
        <v>12548</v>
      </c>
      <c r="R186" s="161">
        <f t="shared" si="57"/>
        <v>18939</v>
      </c>
      <c r="S186" s="127"/>
      <c r="T186" s="139"/>
      <c r="U186" s="140"/>
      <c r="V186" s="140"/>
      <c r="W186" s="140"/>
      <c r="X186" s="140"/>
      <c r="Y186" s="122"/>
      <c r="Z186" s="122"/>
      <c r="AA186" s="56"/>
      <c r="AB186" s="56"/>
      <c r="AC186" s="56"/>
      <c r="AD186" s="56"/>
    </row>
    <row r="187" spans="2:30">
      <c r="B187" s="146">
        <v>30</v>
      </c>
      <c r="C187" s="162">
        <f t="shared" si="46"/>
        <v>12788</v>
      </c>
      <c r="D187" s="163">
        <f t="shared" si="47"/>
        <v>18480</v>
      </c>
      <c r="E187" s="162">
        <f t="shared" si="48"/>
        <v>12788</v>
      </c>
      <c r="F187" s="164">
        <f t="shared" si="49"/>
        <v>18480</v>
      </c>
      <c r="G187" s="128"/>
      <c r="H187" s="146">
        <v>30</v>
      </c>
      <c r="I187" s="162">
        <f t="shared" si="50"/>
        <v>12788</v>
      </c>
      <c r="J187" s="163">
        <f t="shared" si="51"/>
        <v>18420</v>
      </c>
      <c r="K187" s="162">
        <f t="shared" si="52"/>
        <v>12857</v>
      </c>
      <c r="L187" s="164">
        <f t="shared" si="53"/>
        <v>18450</v>
      </c>
      <c r="M187" s="127"/>
      <c r="N187" s="146">
        <v>30</v>
      </c>
      <c r="O187" s="162">
        <f t="shared" si="54"/>
        <v>12788</v>
      </c>
      <c r="P187" s="163">
        <f t="shared" si="55"/>
        <v>18330</v>
      </c>
      <c r="Q187" s="162">
        <f t="shared" si="56"/>
        <v>12981</v>
      </c>
      <c r="R187" s="164">
        <f t="shared" si="57"/>
        <v>18630</v>
      </c>
      <c r="S187" s="127"/>
      <c r="T187" s="139"/>
      <c r="U187" s="140"/>
      <c r="V187" s="140"/>
      <c r="W187" s="140"/>
      <c r="X187" s="140"/>
      <c r="Y187" s="122"/>
      <c r="Z187" s="122"/>
      <c r="AA187" s="56"/>
      <c r="AB187" s="56"/>
      <c r="AC187" s="56"/>
      <c r="AD187" s="56"/>
    </row>
    <row r="188" spans="2:30">
      <c r="B188" s="145">
        <v>31</v>
      </c>
      <c r="C188" s="159">
        <f t="shared" si="46"/>
        <v>13214</v>
      </c>
      <c r="D188" s="160">
        <f t="shared" si="47"/>
        <v>18156</v>
      </c>
      <c r="E188" s="159">
        <f t="shared" si="48"/>
        <v>13214</v>
      </c>
      <c r="F188" s="161">
        <f t="shared" si="49"/>
        <v>18156</v>
      </c>
      <c r="G188" s="128"/>
      <c r="H188" s="145">
        <v>31</v>
      </c>
      <c r="I188" s="159">
        <f t="shared" si="50"/>
        <v>13214</v>
      </c>
      <c r="J188" s="160">
        <f t="shared" si="51"/>
        <v>18094</v>
      </c>
      <c r="K188" s="159">
        <f t="shared" si="52"/>
        <v>13286</v>
      </c>
      <c r="L188" s="161">
        <f t="shared" si="53"/>
        <v>18135</v>
      </c>
      <c r="M188" s="127"/>
      <c r="N188" s="145">
        <v>31</v>
      </c>
      <c r="O188" s="159">
        <f t="shared" si="54"/>
        <v>13214</v>
      </c>
      <c r="P188" s="160">
        <f t="shared" si="55"/>
        <v>18001</v>
      </c>
      <c r="Q188" s="159">
        <f t="shared" si="56"/>
        <v>13413</v>
      </c>
      <c r="R188" s="161">
        <f t="shared" si="57"/>
        <v>18321</v>
      </c>
      <c r="S188" s="127"/>
      <c r="T188" s="139"/>
      <c r="U188" s="140"/>
      <c r="V188" s="140"/>
      <c r="W188" s="140"/>
      <c r="X188" s="140"/>
      <c r="Y188" s="122"/>
      <c r="Z188" s="122"/>
      <c r="AA188" s="56"/>
      <c r="AB188" s="56"/>
      <c r="AC188" s="56"/>
      <c r="AD188" s="56"/>
    </row>
    <row r="189" spans="2:30">
      <c r="B189" s="145">
        <v>32</v>
      </c>
      <c r="C189" s="159">
        <f t="shared" si="46"/>
        <v>13640</v>
      </c>
      <c r="D189" s="160">
        <f t="shared" si="47"/>
        <v>17832</v>
      </c>
      <c r="E189" s="159">
        <f t="shared" si="48"/>
        <v>13640</v>
      </c>
      <c r="F189" s="161">
        <f t="shared" si="49"/>
        <v>17832</v>
      </c>
      <c r="G189" s="128"/>
      <c r="H189" s="145">
        <v>32</v>
      </c>
      <c r="I189" s="159">
        <f t="shared" si="50"/>
        <v>13640</v>
      </c>
      <c r="J189" s="160">
        <f t="shared" si="51"/>
        <v>17768</v>
      </c>
      <c r="K189" s="159">
        <f t="shared" si="52"/>
        <v>13714</v>
      </c>
      <c r="L189" s="161">
        <f t="shared" si="53"/>
        <v>17820</v>
      </c>
      <c r="M189" s="127"/>
      <c r="N189" s="145">
        <v>32</v>
      </c>
      <c r="O189" s="159">
        <f t="shared" si="54"/>
        <v>13640</v>
      </c>
      <c r="P189" s="160">
        <f t="shared" si="55"/>
        <v>17672</v>
      </c>
      <c r="Q189" s="159">
        <f t="shared" si="56"/>
        <v>13846</v>
      </c>
      <c r="R189" s="161">
        <f t="shared" si="57"/>
        <v>18012</v>
      </c>
      <c r="S189" s="127"/>
      <c r="T189" s="139"/>
      <c r="U189" s="140"/>
      <c r="V189" s="140"/>
      <c r="W189" s="140"/>
      <c r="X189" s="140"/>
      <c r="Y189" s="122"/>
      <c r="Z189" s="122"/>
      <c r="AA189" s="56"/>
      <c r="AB189" s="56"/>
      <c r="AC189" s="56"/>
      <c r="AD189" s="56"/>
    </row>
    <row r="190" spans="2:30">
      <c r="B190" s="145">
        <v>33</v>
      </c>
      <c r="C190" s="159">
        <f t="shared" si="46"/>
        <v>14066</v>
      </c>
      <c r="D190" s="160">
        <f t="shared" si="47"/>
        <v>17508</v>
      </c>
      <c r="E190" s="159">
        <f t="shared" si="48"/>
        <v>14066</v>
      </c>
      <c r="F190" s="161">
        <f t="shared" si="49"/>
        <v>17508</v>
      </c>
      <c r="G190" s="128"/>
      <c r="H190" s="145">
        <v>33</v>
      </c>
      <c r="I190" s="159">
        <f t="shared" si="50"/>
        <v>14066</v>
      </c>
      <c r="J190" s="160">
        <f t="shared" si="51"/>
        <v>17442</v>
      </c>
      <c r="K190" s="159">
        <f t="shared" si="52"/>
        <v>14143</v>
      </c>
      <c r="L190" s="161">
        <f t="shared" si="53"/>
        <v>17505</v>
      </c>
      <c r="M190" s="127"/>
      <c r="N190" s="145">
        <v>33</v>
      </c>
      <c r="O190" s="159">
        <f t="shared" si="54"/>
        <v>14066</v>
      </c>
      <c r="P190" s="160">
        <f t="shared" si="55"/>
        <v>17343</v>
      </c>
      <c r="Q190" s="159">
        <f t="shared" si="56"/>
        <v>14279</v>
      </c>
      <c r="R190" s="161">
        <f t="shared" si="57"/>
        <v>17703</v>
      </c>
      <c r="S190" s="127"/>
      <c r="T190" s="139"/>
      <c r="U190" s="140"/>
      <c r="V190" s="140"/>
      <c r="W190" s="140"/>
      <c r="X190" s="140"/>
      <c r="Y190" s="122"/>
      <c r="Z190" s="122"/>
      <c r="AA190" s="56"/>
      <c r="AB190" s="56"/>
      <c r="AC190" s="56"/>
      <c r="AD190" s="56"/>
    </row>
    <row r="191" spans="2:30">
      <c r="B191" s="145">
        <v>34</v>
      </c>
      <c r="C191" s="159">
        <f t="shared" si="46"/>
        <v>14493</v>
      </c>
      <c r="D191" s="160">
        <f t="shared" ref="D191:D222" si="58">ROUND(D190-($E$158-($E$158*$C$29%)),0)</f>
        <v>17184</v>
      </c>
      <c r="E191" s="159">
        <f t="shared" si="48"/>
        <v>14493</v>
      </c>
      <c r="F191" s="161">
        <f t="shared" ref="F191:F222" si="59">ROUND(F190-($C$158-($C$158*$C$29%)),0)</f>
        <v>17184</v>
      </c>
      <c r="G191" s="128"/>
      <c r="H191" s="145">
        <v>34</v>
      </c>
      <c r="I191" s="159">
        <f t="shared" si="50"/>
        <v>14493</v>
      </c>
      <c r="J191" s="160">
        <f t="shared" ref="J191:J222" si="60">ROUND(J190-($K$158-($K$158*$C$29%)),0)</f>
        <v>17116</v>
      </c>
      <c r="K191" s="159">
        <f t="shared" si="52"/>
        <v>14571</v>
      </c>
      <c r="L191" s="161">
        <f t="shared" ref="L191:L222" si="61">ROUND(L190-($I$158-($I$158*$D$29%)),0)</f>
        <v>17190</v>
      </c>
      <c r="M191" s="127"/>
      <c r="N191" s="145">
        <v>34</v>
      </c>
      <c r="O191" s="159">
        <f t="shared" si="54"/>
        <v>14493</v>
      </c>
      <c r="P191" s="160">
        <f t="shared" ref="P191:P222" si="62">ROUND(P190-($Q$158-($Q$158*$C$29%)),0)</f>
        <v>17014</v>
      </c>
      <c r="Q191" s="159">
        <f t="shared" si="56"/>
        <v>14712</v>
      </c>
      <c r="R191" s="161">
        <f t="shared" ref="R191:R222" si="63">ROUND(R190-($O$158-($O$158*$E$29%)),0)</f>
        <v>17394</v>
      </c>
      <c r="S191" s="127"/>
      <c r="T191" s="139"/>
      <c r="U191" s="140"/>
      <c r="V191" s="140"/>
      <c r="W191" s="140"/>
      <c r="X191" s="140"/>
      <c r="Y191" s="122"/>
      <c r="Z191" s="122"/>
      <c r="AA191" s="56"/>
      <c r="AB191" s="56"/>
      <c r="AC191" s="56"/>
      <c r="AD191" s="56"/>
    </row>
    <row r="192" spans="2:30">
      <c r="B192" s="145">
        <v>35</v>
      </c>
      <c r="C192" s="159">
        <f t="shared" si="46"/>
        <v>14919</v>
      </c>
      <c r="D192" s="160">
        <f t="shared" si="58"/>
        <v>16860</v>
      </c>
      <c r="E192" s="159">
        <f t="shared" si="48"/>
        <v>14919</v>
      </c>
      <c r="F192" s="161">
        <f t="shared" si="59"/>
        <v>16860</v>
      </c>
      <c r="G192" s="128"/>
      <c r="H192" s="145">
        <v>35</v>
      </c>
      <c r="I192" s="159">
        <f t="shared" si="50"/>
        <v>14919</v>
      </c>
      <c r="J192" s="160">
        <f t="shared" si="60"/>
        <v>16790</v>
      </c>
      <c r="K192" s="159">
        <f t="shared" si="52"/>
        <v>15000</v>
      </c>
      <c r="L192" s="161">
        <f t="shared" si="61"/>
        <v>16875</v>
      </c>
      <c r="M192" s="127"/>
      <c r="N192" s="145">
        <v>35</v>
      </c>
      <c r="O192" s="159">
        <f t="shared" si="54"/>
        <v>14919</v>
      </c>
      <c r="P192" s="160">
        <f t="shared" si="62"/>
        <v>16685</v>
      </c>
      <c r="Q192" s="159">
        <f t="shared" si="56"/>
        <v>15144</v>
      </c>
      <c r="R192" s="161">
        <f t="shared" si="63"/>
        <v>17085</v>
      </c>
      <c r="S192" s="127"/>
      <c r="T192" s="139"/>
      <c r="U192" s="140"/>
      <c r="V192" s="140"/>
      <c r="W192" s="140"/>
      <c r="X192" s="140"/>
      <c r="Y192" s="122"/>
      <c r="Z192" s="122"/>
      <c r="AA192" s="56"/>
      <c r="AB192" s="56"/>
      <c r="AC192" s="56"/>
      <c r="AD192" s="56"/>
    </row>
    <row r="193" spans="2:30">
      <c r="B193" s="145">
        <v>36</v>
      </c>
      <c r="C193" s="159">
        <f t="shared" si="46"/>
        <v>15345</v>
      </c>
      <c r="D193" s="160">
        <f t="shared" si="58"/>
        <v>16536</v>
      </c>
      <c r="E193" s="159">
        <f t="shared" si="48"/>
        <v>15345</v>
      </c>
      <c r="F193" s="161">
        <f t="shared" si="59"/>
        <v>16536</v>
      </c>
      <c r="G193" s="128"/>
      <c r="H193" s="145">
        <v>36</v>
      </c>
      <c r="I193" s="159">
        <f t="shared" si="50"/>
        <v>15345</v>
      </c>
      <c r="J193" s="160">
        <f t="shared" si="60"/>
        <v>16464</v>
      </c>
      <c r="K193" s="159">
        <f t="shared" si="52"/>
        <v>15429</v>
      </c>
      <c r="L193" s="161">
        <f t="shared" si="61"/>
        <v>16560</v>
      </c>
      <c r="M193" s="127"/>
      <c r="N193" s="145">
        <v>36</v>
      </c>
      <c r="O193" s="159">
        <f t="shared" si="54"/>
        <v>15345</v>
      </c>
      <c r="P193" s="160">
        <f t="shared" si="62"/>
        <v>16356</v>
      </c>
      <c r="Q193" s="159">
        <f t="shared" si="56"/>
        <v>15577</v>
      </c>
      <c r="R193" s="161">
        <f t="shared" si="63"/>
        <v>16776</v>
      </c>
      <c r="S193" s="127"/>
      <c r="T193" s="139"/>
      <c r="U193" s="140"/>
      <c r="V193" s="140"/>
      <c r="W193" s="140"/>
      <c r="X193" s="140"/>
      <c r="Y193" s="122"/>
      <c r="Z193" s="122"/>
      <c r="AA193" s="56"/>
      <c r="AB193" s="56"/>
      <c r="AC193" s="56"/>
      <c r="AD193" s="56"/>
    </row>
    <row r="194" spans="2:30">
      <c r="B194" s="145">
        <v>37</v>
      </c>
      <c r="C194" s="159">
        <f t="shared" si="46"/>
        <v>15771</v>
      </c>
      <c r="D194" s="160">
        <f t="shared" si="58"/>
        <v>16212</v>
      </c>
      <c r="E194" s="159">
        <f t="shared" si="48"/>
        <v>15771</v>
      </c>
      <c r="F194" s="161">
        <f t="shared" si="59"/>
        <v>16212</v>
      </c>
      <c r="G194" s="128"/>
      <c r="H194" s="145">
        <v>37</v>
      </c>
      <c r="I194" s="159">
        <f t="shared" si="50"/>
        <v>15771</v>
      </c>
      <c r="J194" s="160">
        <f t="shared" si="60"/>
        <v>16138</v>
      </c>
      <c r="K194" s="159">
        <f t="shared" si="52"/>
        <v>15857</v>
      </c>
      <c r="L194" s="161">
        <f t="shared" si="61"/>
        <v>16245</v>
      </c>
      <c r="M194" s="127"/>
      <c r="N194" s="145">
        <v>37</v>
      </c>
      <c r="O194" s="159">
        <f t="shared" si="54"/>
        <v>15771</v>
      </c>
      <c r="P194" s="160">
        <f t="shared" si="62"/>
        <v>16027</v>
      </c>
      <c r="Q194" s="159">
        <f t="shared" si="56"/>
        <v>16010</v>
      </c>
      <c r="R194" s="161">
        <f t="shared" si="63"/>
        <v>16467</v>
      </c>
      <c r="S194" s="127"/>
      <c r="T194" s="139"/>
      <c r="U194" s="140"/>
      <c r="V194" s="140"/>
      <c r="W194" s="140"/>
      <c r="X194" s="140"/>
      <c r="Y194" s="122"/>
      <c r="Z194" s="122"/>
      <c r="AA194" s="56"/>
      <c r="AB194" s="56"/>
      <c r="AC194" s="56"/>
      <c r="AD194" s="56"/>
    </row>
    <row r="195" spans="2:30">
      <c r="B195" s="145">
        <v>38</v>
      </c>
      <c r="C195" s="159">
        <f t="shared" si="46"/>
        <v>16198</v>
      </c>
      <c r="D195" s="160">
        <f t="shared" si="58"/>
        <v>15888</v>
      </c>
      <c r="E195" s="159">
        <f t="shared" si="48"/>
        <v>16198</v>
      </c>
      <c r="F195" s="161">
        <f t="shared" si="59"/>
        <v>15888</v>
      </c>
      <c r="G195" s="128"/>
      <c r="H195" s="145">
        <v>38</v>
      </c>
      <c r="I195" s="159">
        <f t="shared" si="50"/>
        <v>16198</v>
      </c>
      <c r="J195" s="160">
        <f t="shared" si="60"/>
        <v>15812</v>
      </c>
      <c r="K195" s="159">
        <f t="shared" si="52"/>
        <v>16286</v>
      </c>
      <c r="L195" s="161">
        <f t="shared" si="61"/>
        <v>15930</v>
      </c>
      <c r="M195" s="127"/>
      <c r="N195" s="145">
        <v>38</v>
      </c>
      <c r="O195" s="159">
        <f t="shared" si="54"/>
        <v>16198</v>
      </c>
      <c r="P195" s="160">
        <f t="shared" si="62"/>
        <v>15698</v>
      </c>
      <c r="Q195" s="159">
        <f t="shared" si="56"/>
        <v>16442</v>
      </c>
      <c r="R195" s="161">
        <f t="shared" si="63"/>
        <v>16158</v>
      </c>
      <c r="S195" s="127"/>
      <c r="T195" s="139"/>
      <c r="U195" s="140"/>
      <c r="V195" s="140"/>
      <c r="W195" s="140"/>
      <c r="X195" s="140"/>
      <c r="Y195" s="122"/>
      <c r="Z195" s="122"/>
      <c r="AA195" s="56"/>
      <c r="AB195" s="56"/>
      <c r="AC195" s="56"/>
      <c r="AD195" s="56"/>
    </row>
    <row r="196" spans="2:30">
      <c r="B196" s="145">
        <v>39</v>
      </c>
      <c r="C196" s="159">
        <f t="shared" si="46"/>
        <v>16624</v>
      </c>
      <c r="D196" s="160">
        <f t="shared" si="58"/>
        <v>15564</v>
      </c>
      <c r="E196" s="159">
        <f t="shared" si="48"/>
        <v>16624</v>
      </c>
      <c r="F196" s="161">
        <f t="shared" si="59"/>
        <v>15564</v>
      </c>
      <c r="G196" s="128"/>
      <c r="H196" s="145">
        <v>39</v>
      </c>
      <c r="I196" s="159">
        <f t="shared" si="50"/>
        <v>16624</v>
      </c>
      <c r="J196" s="160">
        <f t="shared" si="60"/>
        <v>15486</v>
      </c>
      <c r="K196" s="159">
        <f t="shared" si="52"/>
        <v>16714</v>
      </c>
      <c r="L196" s="161">
        <f t="shared" si="61"/>
        <v>15615</v>
      </c>
      <c r="M196" s="127"/>
      <c r="N196" s="145">
        <v>39</v>
      </c>
      <c r="O196" s="159">
        <f t="shared" si="54"/>
        <v>16624</v>
      </c>
      <c r="P196" s="160">
        <f t="shared" si="62"/>
        <v>15369</v>
      </c>
      <c r="Q196" s="159">
        <f t="shared" si="56"/>
        <v>16875</v>
      </c>
      <c r="R196" s="161">
        <f t="shared" si="63"/>
        <v>15849</v>
      </c>
      <c r="S196" s="127"/>
      <c r="T196" s="139"/>
      <c r="U196" s="140"/>
      <c r="V196" s="140"/>
      <c r="W196" s="140"/>
      <c r="X196" s="140"/>
      <c r="Y196" s="122"/>
      <c r="Z196" s="122"/>
      <c r="AA196" s="56"/>
      <c r="AB196" s="56"/>
      <c r="AC196" s="56"/>
      <c r="AD196" s="56"/>
    </row>
    <row r="197" spans="2:30">
      <c r="B197" s="146">
        <v>40</v>
      </c>
      <c r="C197" s="162">
        <f t="shared" si="46"/>
        <v>17050</v>
      </c>
      <c r="D197" s="163">
        <f t="shared" si="58"/>
        <v>15240</v>
      </c>
      <c r="E197" s="162">
        <f t="shared" si="48"/>
        <v>17050</v>
      </c>
      <c r="F197" s="164">
        <f t="shared" si="59"/>
        <v>15240</v>
      </c>
      <c r="G197" s="128"/>
      <c r="H197" s="146">
        <v>40</v>
      </c>
      <c r="I197" s="162">
        <f t="shared" si="50"/>
        <v>17050</v>
      </c>
      <c r="J197" s="163">
        <f t="shared" si="60"/>
        <v>15160</v>
      </c>
      <c r="K197" s="162">
        <f t="shared" si="52"/>
        <v>17143</v>
      </c>
      <c r="L197" s="164">
        <f t="shared" si="61"/>
        <v>15300</v>
      </c>
      <c r="M197" s="127"/>
      <c r="N197" s="146">
        <v>40</v>
      </c>
      <c r="O197" s="162">
        <f t="shared" si="54"/>
        <v>17050</v>
      </c>
      <c r="P197" s="163">
        <f t="shared" si="62"/>
        <v>15040</v>
      </c>
      <c r="Q197" s="162">
        <f t="shared" si="56"/>
        <v>17308</v>
      </c>
      <c r="R197" s="164">
        <f t="shared" si="63"/>
        <v>15540</v>
      </c>
      <c r="S197" s="127"/>
      <c r="T197" s="139"/>
      <c r="U197" s="140"/>
      <c r="V197" s="140"/>
      <c r="W197" s="140"/>
      <c r="X197" s="140"/>
      <c r="Y197" s="122"/>
      <c r="Z197" s="122"/>
      <c r="AA197" s="56"/>
      <c r="AB197" s="56"/>
      <c r="AC197" s="56"/>
      <c r="AD197" s="56"/>
    </row>
    <row r="198" spans="2:30">
      <c r="B198" s="145">
        <v>41</v>
      </c>
      <c r="C198" s="159">
        <f t="shared" si="46"/>
        <v>17476</v>
      </c>
      <c r="D198" s="160">
        <f t="shared" si="58"/>
        <v>14916</v>
      </c>
      <c r="E198" s="159">
        <f t="shared" si="48"/>
        <v>17476</v>
      </c>
      <c r="F198" s="161">
        <f t="shared" si="59"/>
        <v>14916</v>
      </c>
      <c r="G198" s="128"/>
      <c r="H198" s="145">
        <v>41</v>
      </c>
      <c r="I198" s="159">
        <f t="shared" si="50"/>
        <v>17476</v>
      </c>
      <c r="J198" s="160">
        <f t="shared" si="60"/>
        <v>14834</v>
      </c>
      <c r="K198" s="159">
        <f t="shared" si="52"/>
        <v>17571</v>
      </c>
      <c r="L198" s="161">
        <f t="shared" si="61"/>
        <v>14985</v>
      </c>
      <c r="M198" s="127"/>
      <c r="N198" s="145">
        <v>41</v>
      </c>
      <c r="O198" s="159">
        <f t="shared" si="54"/>
        <v>17476</v>
      </c>
      <c r="P198" s="160">
        <f t="shared" si="62"/>
        <v>14711</v>
      </c>
      <c r="Q198" s="159">
        <f t="shared" si="56"/>
        <v>17740</v>
      </c>
      <c r="R198" s="161">
        <f t="shared" si="63"/>
        <v>15231</v>
      </c>
      <c r="S198" s="127"/>
      <c r="T198" s="139"/>
      <c r="U198" s="140"/>
      <c r="V198" s="140"/>
      <c r="W198" s="140"/>
      <c r="X198" s="140"/>
      <c r="Y198" s="122"/>
      <c r="Z198" s="122"/>
      <c r="AA198" s="56"/>
      <c r="AB198" s="56"/>
      <c r="AC198" s="56"/>
      <c r="AD198" s="56"/>
    </row>
    <row r="199" spans="2:30">
      <c r="B199" s="145">
        <v>42</v>
      </c>
      <c r="C199" s="159">
        <f t="shared" si="46"/>
        <v>17903</v>
      </c>
      <c r="D199" s="160">
        <f t="shared" si="58"/>
        <v>14592</v>
      </c>
      <c r="E199" s="159">
        <f t="shared" si="48"/>
        <v>17903</v>
      </c>
      <c r="F199" s="161">
        <f t="shared" si="59"/>
        <v>14592</v>
      </c>
      <c r="G199" s="128"/>
      <c r="H199" s="145">
        <v>42</v>
      </c>
      <c r="I199" s="159">
        <f t="shared" si="50"/>
        <v>17903</v>
      </c>
      <c r="J199" s="160">
        <f t="shared" si="60"/>
        <v>14508</v>
      </c>
      <c r="K199" s="159">
        <f t="shared" si="52"/>
        <v>18000</v>
      </c>
      <c r="L199" s="161">
        <f t="shared" si="61"/>
        <v>14670</v>
      </c>
      <c r="M199" s="127"/>
      <c r="N199" s="145">
        <v>42</v>
      </c>
      <c r="O199" s="159">
        <f t="shared" si="54"/>
        <v>17903</v>
      </c>
      <c r="P199" s="160">
        <f t="shared" si="62"/>
        <v>14382</v>
      </c>
      <c r="Q199" s="159">
        <f t="shared" si="56"/>
        <v>18173</v>
      </c>
      <c r="R199" s="161">
        <f t="shared" si="63"/>
        <v>14922</v>
      </c>
      <c r="S199" s="127"/>
      <c r="T199" s="139"/>
      <c r="U199" s="140"/>
      <c r="V199" s="140"/>
      <c r="W199" s="140"/>
      <c r="X199" s="140"/>
      <c r="Y199" s="122"/>
      <c r="Z199" s="122"/>
      <c r="AA199" s="56"/>
      <c r="AB199" s="56"/>
      <c r="AC199" s="56"/>
      <c r="AD199" s="56"/>
    </row>
    <row r="200" spans="2:30">
      <c r="B200" s="145">
        <v>43</v>
      </c>
      <c r="C200" s="159">
        <f t="shared" si="46"/>
        <v>18329</v>
      </c>
      <c r="D200" s="160">
        <f t="shared" si="58"/>
        <v>14268</v>
      </c>
      <c r="E200" s="159">
        <f t="shared" si="48"/>
        <v>18329</v>
      </c>
      <c r="F200" s="161">
        <f t="shared" si="59"/>
        <v>14268</v>
      </c>
      <c r="G200" s="128"/>
      <c r="H200" s="145">
        <v>43</v>
      </c>
      <c r="I200" s="159">
        <f t="shared" si="50"/>
        <v>18329</v>
      </c>
      <c r="J200" s="160">
        <f t="shared" si="60"/>
        <v>14182</v>
      </c>
      <c r="K200" s="159">
        <f t="shared" si="52"/>
        <v>18429</v>
      </c>
      <c r="L200" s="161">
        <f t="shared" si="61"/>
        <v>14355</v>
      </c>
      <c r="M200" s="127"/>
      <c r="N200" s="145">
        <v>43</v>
      </c>
      <c r="O200" s="159">
        <f t="shared" si="54"/>
        <v>18329</v>
      </c>
      <c r="P200" s="160">
        <f t="shared" si="62"/>
        <v>14053</v>
      </c>
      <c r="Q200" s="159">
        <f t="shared" si="56"/>
        <v>18606</v>
      </c>
      <c r="R200" s="161">
        <f t="shared" si="63"/>
        <v>14613</v>
      </c>
      <c r="S200" s="127"/>
      <c r="T200" s="139"/>
      <c r="U200" s="140"/>
      <c r="V200" s="140"/>
      <c r="W200" s="140"/>
      <c r="X200" s="140"/>
      <c r="Y200" s="122"/>
      <c r="Z200" s="122"/>
      <c r="AA200" s="56"/>
      <c r="AB200" s="56"/>
      <c r="AC200" s="56"/>
      <c r="AD200" s="56"/>
    </row>
    <row r="201" spans="2:30">
      <c r="B201" s="145">
        <v>44</v>
      </c>
      <c r="C201" s="159">
        <f t="shared" si="46"/>
        <v>18755</v>
      </c>
      <c r="D201" s="160">
        <f t="shared" si="58"/>
        <v>13944</v>
      </c>
      <c r="E201" s="159">
        <f t="shared" si="48"/>
        <v>18755</v>
      </c>
      <c r="F201" s="161">
        <f t="shared" si="59"/>
        <v>13944</v>
      </c>
      <c r="G201" s="128"/>
      <c r="H201" s="145">
        <v>44</v>
      </c>
      <c r="I201" s="159">
        <f t="shared" si="50"/>
        <v>18755</v>
      </c>
      <c r="J201" s="160">
        <f t="shared" si="60"/>
        <v>13856</v>
      </c>
      <c r="K201" s="159">
        <f t="shared" si="52"/>
        <v>18857</v>
      </c>
      <c r="L201" s="161">
        <f t="shared" si="61"/>
        <v>14040</v>
      </c>
      <c r="M201" s="127"/>
      <c r="N201" s="145">
        <v>44</v>
      </c>
      <c r="O201" s="159">
        <f t="shared" si="54"/>
        <v>18755</v>
      </c>
      <c r="P201" s="160">
        <f t="shared" si="62"/>
        <v>13724</v>
      </c>
      <c r="Q201" s="159">
        <f t="shared" si="56"/>
        <v>19038</v>
      </c>
      <c r="R201" s="161">
        <f t="shared" si="63"/>
        <v>14304</v>
      </c>
      <c r="S201" s="127"/>
      <c r="T201" s="139"/>
      <c r="U201" s="140"/>
      <c r="V201" s="140"/>
      <c r="W201" s="140"/>
      <c r="X201" s="140"/>
      <c r="Y201" s="122"/>
      <c r="Z201" s="122"/>
      <c r="AA201" s="56"/>
      <c r="AB201" s="56"/>
      <c r="AC201" s="56"/>
      <c r="AD201" s="56"/>
    </row>
    <row r="202" spans="2:30">
      <c r="B202" s="145">
        <v>45</v>
      </c>
      <c r="C202" s="159">
        <f t="shared" si="46"/>
        <v>19181</v>
      </c>
      <c r="D202" s="160">
        <f t="shared" si="58"/>
        <v>13620</v>
      </c>
      <c r="E202" s="159">
        <f t="shared" si="48"/>
        <v>19181</v>
      </c>
      <c r="F202" s="161">
        <f t="shared" si="59"/>
        <v>13620</v>
      </c>
      <c r="G202" s="128"/>
      <c r="H202" s="145">
        <v>45</v>
      </c>
      <c r="I202" s="159">
        <f t="shared" si="50"/>
        <v>19181</v>
      </c>
      <c r="J202" s="160">
        <f t="shared" si="60"/>
        <v>13530</v>
      </c>
      <c r="K202" s="159">
        <f t="shared" si="52"/>
        <v>19286</v>
      </c>
      <c r="L202" s="161">
        <f t="shared" si="61"/>
        <v>13725</v>
      </c>
      <c r="M202" s="127"/>
      <c r="N202" s="145">
        <v>45</v>
      </c>
      <c r="O202" s="159">
        <f t="shared" si="54"/>
        <v>19181</v>
      </c>
      <c r="P202" s="160">
        <f t="shared" si="62"/>
        <v>13395</v>
      </c>
      <c r="Q202" s="159">
        <f t="shared" si="56"/>
        <v>19471</v>
      </c>
      <c r="R202" s="161">
        <f t="shared" si="63"/>
        <v>13995</v>
      </c>
      <c r="S202" s="127"/>
      <c r="T202" s="127"/>
      <c r="U202" s="128"/>
      <c r="V202" s="127"/>
      <c r="W202" s="122"/>
      <c r="X202" s="122"/>
      <c r="Y202" s="122"/>
      <c r="Z202" s="122"/>
      <c r="AA202" s="56"/>
      <c r="AB202" s="56"/>
      <c r="AC202" s="56"/>
      <c r="AD202" s="56"/>
    </row>
    <row r="203" spans="2:30">
      <c r="B203" s="145">
        <v>46</v>
      </c>
      <c r="C203" s="159">
        <f t="shared" si="46"/>
        <v>19608</v>
      </c>
      <c r="D203" s="160">
        <f t="shared" si="58"/>
        <v>13296</v>
      </c>
      <c r="E203" s="159">
        <f t="shared" si="48"/>
        <v>19608</v>
      </c>
      <c r="F203" s="161">
        <f t="shared" si="59"/>
        <v>13296</v>
      </c>
      <c r="G203" s="128"/>
      <c r="H203" s="145">
        <v>46</v>
      </c>
      <c r="I203" s="159">
        <f t="shared" si="50"/>
        <v>19608</v>
      </c>
      <c r="J203" s="160">
        <f t="shared" si="60"/>
        <v>13204</v>
      </c>
      <c r="K203" s="159">
        <f t="shared" si="52"/>
        <v>19714</v>
      </c>
      <c r="L203" s="161">
        <f t="shared" si="61"/>
        <v>13410</v>
      </c>
      <c r="M203" s="127"/>
      <c r="N203" s="145">
        <v>46</v>
      </c>
      <c r="O203" s="159">
        <f t="shared" si="54"/>
        <v>19608</v>
      </c>
      <c r="P203" s="160">
        <f t="shared" si="62"/>
        <v>13066</v>
      </c>
      <c r="Q203" s="159">
        <f t="shared" si="56"/>
        <v>19904</v>
      </c>
      <c r="R203" s="161">
        <f t="shared" si="63"/>
        <v>13686</v>
      </c>
      <c r="S203" s="127"/>
      <c r="T203" s="127"/>
      <c r="U203" s="128"/>
      <c r="V203" s="127"/>
      <c r="W203" s="122"/>
      <c r="X203" s="122"/>
      <c r="Y203" s="122"/>
      <c r="Z203" s="122"/>
      <c r="AA203" s="56"/>
      <c r="AB203" s="56"/>
      <c r="AC203" s="56"/>
      <c r="AD203" s="56"/>
    </row>
    <row r="204" spans="2:30">
      <c r="B204" s="145">
        <v>47</v>
      </c>
      <c r="C204" s="159">
        <f t="shared" si="46"/>
        <v>20034</v>
      </c>
      <c r="D204" s="160">
        <f t="shared" si="58"/>
        <v>12972</v>
      </c>
      <c r="E204" s="159">
        <f t="shared" si="48"/>
        <v>20034</v>
      </c>
      <c r="F204" s="161">
        <f t="shared" si="59"/>
        <v>12972</v>
      </c>
      <c r="G204" s="128"/>
      <c r="H204" s="145">
        <v>47</v>
      </c>
      <c r="I204" s="159">
        <f t="shared" si="50"/>
        <v>20034</v>
      </c>
      <c r="J204" s="160">
        <f t="shared" si="60"/>
        <v>12878</v>
      </c>
      <c r="K204" s="159">
        <f t="shared" si="52"/>
        <v>20143</v>
      </c>
      <c r="L204" s="161">
        <f t="shared" si="61"/>
        <v>13095</v>
      </c>
      <c r="M204" s="127"/>
      <c r="N204" s="145">
        <v>47</v>
      </c>
      <c r="O204" s="159">
        <f t="shared" si="54"/>
        <v>20034</v>
      </c>
      <c r="P204" s="160">
        <f t="shared" si="62"/>
        <v>12737</v>
      </c>
      <c r="Q204" s="159">
        <f t="shared" si="56"/>
        <v>20337</v>
      </c>
      <c r="R204" s="161">
        <f t="shared" si="63"/>
        <v>13377</v>
      </c>
      <c r="S204" s="127"/>
      <c r="T204" s="127"/>
      <c r="U204" s="128"/>
      <c r="V204" s="127"/>
      <c r="W204" s="122"/>
      <c r="X204" s="122"/>
      <c r="Y204" s="122"/>
      <c r="Z204" s="122"/>
      <c r="AA204" s="56"/>
      <c r="AB204" s="56"/>
      <c r="AC204" s="56"/>
      <c r="AD204" s="56"/>
    </row>
    <row r="205" spans="2:30">
      <c r="B205" s="145">
        <v>48</v>
      </c>
      <c r="C205" s="159">
        <f t="shared" si="46"/>
        <v>20460</v>
      </c>
      <c r="D205" s="160">
        <f t="shared" si="58"/>
        <v>12648</v>
      </c>
      <c r="E205" s="159">
        <f t="shared" si="48"/>
        <v>20460</v>
      </c>
      <c r="F205" s="161">
        <f t="shared" si="59"/>
        <v>12648</v>
      </c>
      <c r="G205" s="128"/>
      <c r="H205" s="145">
        <v>48</v>
      </c>
      <c r="I205" s="159">
        <f t="shared" si="50"/>
        <v>20460</v>
      </c>
      <c r="J205" s="160">
        <f t="shared" si="60"/>
        <v>12552</v>
      </c>
      <c r="K205" s="159">
        <f t="shared" si="52"/>
        <v>20571</v>
      </c>
      <c r="L205" s="161">
        <f t="shared" si="61"/>
        <v>12780</v>
      </c>
      <c r="M205" s="127"/>
      <c r="N205" s="145">
        <v>48</v>
      </c>
      <c r="O205" s="159">
        <f t="shared" si="54"/>
        <v>20460</v>
      </c>
      <c r="P205" s="160">
        <f t="shared" si="62"/>
        <v>12408</v>
      </c>
      <c r="Q205" s="159">
        <f t="shared" si="56"/>
        <v>20769</v>
      </c>
      <c r="R205" s="161">
        <f t="shared" si="63"/>
        <v>13068</v>
      </c>
      <c r="S205" s="127"/>
      <c r="T205" s="127"/>
      <c r="U205" s="128"/>
      <c r="V205" s="127"/>
      <c r="W205" s="122"/>
      <c r="X205" s="122"/>
      <c r="Y205" s="122"/>
      <c r="Z205" s="122"/>
      <c r="AA205" s="56"/>
      <c r="AB205" s="56"/>
      <c r="AC205" s="56"/>
      <c r="AD205" s="56"/>
    </row>
    <row r="206" spans="2:30">
      <c r="B206" s="145">
        <v>49</v>
      </c>
      <c r="C206" s="159">
        <f t="shared" si="46"/>
        <v>20886</v>
      </c>
      <c r="D206" s="160">
        <f t="shared" si="58"/>
        <v>12324</v>
      </c>
      <c r="E206" s="159">
        <f t="shared" si="48"/>
        <v>20886</v>
      </c>
      <c r="F206" s="161">
        <f t="shared" si="59"/>
        <v>12324</v>
      </c>
      <c r="G206" s="128"/>
      <c r="H206" s="145">
        <v>49</v>
      </c>
      <c r="I206" s="159">
        <f t="shared" si="50"/>
        <v>20886</v>
      </c>
      <c r="J206" s="160">
        <f t="shared" si="60"/>
        <v>12226</v>
      </c>
      <c r="K206" s="159">
        <f t="shared" si="52"/>
        <v>21000</v>
      </c>
      <c r="L206" s="161">
        <f t="shared" si="61"/>
        <v>12465</v>
      </c>
      <c r="M206" s="127"/>
      <c r="N206" s="145">
        <v>49</v>
      </c>
      <c r="O206" s="159">
        <f t="shared" si="54"/>
        <v>20886</v>
      </c>
      <c r="P206" s="160">
        <f t="shared" si="62"/>
        <v>12079</v>
      </c>
      <c r="Q206" s="159">
        <f t="shared" si="56"/>
        <v>21202</v>
      </c>
      <c r="R206" s="161">
        <f t="shared" si="63"/>
        <v>12759</v>
      </c>
      <c r="S206" s="127"/>
      <c r="T206" s="127"/>
      <c r="U206" s="128"/>
      <c r="V206" s="127"/>
      <c r="W206" s="122"/>
      <c r="X206" s="122"/>
      <c r="Y206" s="122"/>
      <c r="Z206" s="122"/>
      <c r="AA206" s="56"/>
      <c r="AB206" s="56"/>
      <c r="AC206" s="56"/>
      <c r="AD206" s="56"/>
    </row>
    <row r="207" spans="2:30">
      <c r="B207" s="146">
        <v>50</v>
      </c>
      <c r="C207" s="162">
        <f t="shared" si="46"/>
        <v>21313</v>
      </c>
      <c r="D207" s="163">
        <f t="shared" si="58"/>
        <v>12000</v>
      </c>
      <c r="E207" s="162">
        <f t="shared" si="48"/>
        <v>21313</v>
      </c>
      <c r="F207" s="164">
        <f t="shared" si="59"/>
        <v>12000</v>
      </c>
      <c r="G207" s="128"/>
      <c r="H207" s="146">
        <v>50</v>
      </c>
      <c r="I207" s="162">
        <f t="shared" si="50"/>
        <v>21313</v>
      </c>
      <c r="J207" s="163">
        <f t="shared" si="60"/>
        <v>11900</v>
      </c>
      <c r="K207" s="162">
        <f t="shared" si="52"/>
        <v>21429</v>
      </c>
      <c r="L207" s="164">
        <f t="shared" si="61"/>
        <v>12150</v>
      </c>
      <c r="M207" s="127"/>
      <c r="N207" s="146">
        <v>50</v>
      </c>
      <c r="O207" s="162">
        <f t="shared" si="54"/>
        <v>21313</v>
      </c>
      <c r="P207" s="163">
        <f t="shared" si="62"/>
        <v>11750</v>
      </c>
      <c r="Q207" s="162">
        <f t="shared" si="56"/>
        <v>21635</v>
      </c>
      <c r="R207" s="164">
        <f t="shared" si="63"/>
        <v>12450</v>
      </c>
      <c r="S207" s="127"/>
      <c r="T207" s="127"/>
      <c r="U207" s="128"/>
      <c r="V207" s="127"/>
      <c r="W207" s="122"/>
      <c r="X207" s="122"/>
      <c r="Y207" s="122"/>
      <c r="Z207" s="122"/>
      <c r="AA207" s="56"/>
      <c r="AB207" s="56"/>
      <c r="AC207" s="56"/>
      <c r="AD207" s="56"/>
    </row>
    <row r="208" spans="2:30">
      <c r="B208" s="145">
        <v>51</v>
      </c>
      <c r="C208" s="159">
        <f t="shared" si="46"/>
        <v>21739</v>
      </c>
      <c r="D208" s="160">
        <f t="shared" si="58"/>
        <v>11676</v>
      </c>
      <c r="E208" s="159">
        <f t="shared" si="48"/>
        <v>21739</v>
      </c>
      <c r="F208" s="161">
        <f t="shared" si="59"/>
        <v>11676</v>
      </c>
      <c r="G208" s="128"/>
      <c r="H208" s="145">
        <v>51</v>
      </c>
      <c r="I208" s="159">
        <f t="shared" si="50"/>
        <v>21739</v>
      </c>
      <c r="J208" s="160">
        <f t="shared" si="60"/>
        <v>11574</v>
      </c>
      <c r="K208" s="159">
        <f t="shared" si="52"/>
        <v>21857</v>
      </c>
      <c r="L208" s="161">
        <f t="shared" si="61"/>
        <v>11835</v>
      </c>
      <c r="M208" s="127"/>
      <c r="N208" s="145">
        <v>51</v>
      </c>
      <c r="O208" s="159">
        <f t="shared" si="54"/>
        <v>21739</v>
      </c>
      <c r="P208" s="160">
        <f t="shared" si="62"/>
        <v>11421</v>
      </c>
      <c r="Q208" s="159">
        <f t="shared" si="56"/>
        <v>22067</v>
      </c>
      <c r="R208" s="161">
        <f t="shared" si="63"/>
        <v>12141</v>
      </c>
      <c r="S208" s="127"/>
      <c r="T208" s="127"/>
      <c r="U208" s="128"/>
      <c r="V208" s="127"/>
      <c r="W208" s="122"/>
      <c r="X208" s="122"/>
      <c r="Y208" s="122"/>
      <c r="Z208" s="122"/>
      <c r="AA208" s="56"/>
      <c r="AB208" s="56"/>
      <c r="AC208" s="56"/>
      <c r="AD208" s="56"/>
    </row>
    <row r="209" spans="2:30">
      <c r="B209" s="145">
        <v>52</v>
      </c>
      <c r="C209" s="159">
        <f t="shared" si="46"/>
        <v>22165</v>
      </c>
      <c r="D209" s="160">
        <f t="shared" si="58"/>
        <v>11352</v>
      </c>
      <c r="E209" s="159">
        <f t="shared" si="48"/>
        <v>22165</v>
      </c>
      <c r="F209" s="161">
        <f t="shared" si="59"/>
        <v>11352</v>
      </c>
      <c r="G209" s="128"/>
      <c r="H209" s="145">
        <v>52</v>
      </c>
      <c r="I209" s="159">
        <f t="shared" si="50"/>
        <v>22165</v>
      </c>
      <c r="J209" s="160">
        <f t="shared" si="60"/>
        <v>11248</v>
      </c>
      <c r="K209" s="159">
        <f t="shared" si="52"/>
        <v>22286</v>
      </c>
      <c r="L209" s="161">
        <f t="shared" si="61"/>
        <v>11520</v>
      </c>
      <c r="M209" s="127"/>
      <c r="N209" s="145">
        <v>52</v>
      </c>
      <c r="O209" s="159">
        <f t="shared" si="54"/>
        <v>22165</v>
      </c>
      <c r="P209" s="160">
        <f t="shared" si="62"/>
        <v>11092</v>
      </c>
      <c r="Q209" s="159">
        <f t="shared" si="56"/>
        <v>22500</v>
      </c>
      <c r="R209" s="161">
        <f t="shared" si="63"/>
        <v>11832</v>
      </c>
      <c r="S209" s="127"/>
      <c r="T209" s="127"/>
      <c r="U209" s="128"/>
      <c r="V209" s="127"/>
      <c r="W209" s="122"/>
      <c r="X209" s="122"/>
      <c r="Y209" s="122"/>
      <c r="Z209" s="122"/>
      <c r="AA209" s="56"/>
      <c r="AB209" s="56"/>
      <c r="AC209" s="56"/>
      <c r="AD209" s="56"/>
    </row>
    <row r="210" spans="2:30">
      <c r="B210" s="145">
        <v>53</v>
      </c>
      <c r="C210" s="159">
        <f t="shared" si="46"/>
        <v>22591</v>
      </c>
      <c r="D210" s="160">
        <f t="shared" si="58"/>
        <v>11028</v>
      </c>
      <c r="E210" s="159">
        <f t="shared" si="48"/>
        <v>22591</v>
      </c>
      <c r="F210" s="161">
        <f t="shared" si="59"/>
        <v>11028</v>
      </c>
      <c r="G210" s="128"/>
      <c r="H210" s="145">
        <v>53</v>
      </c>
      <c r="I210" s="159">
        <f t="shared" si="50"/>
        <v>22591</v>
      </c>
      <c r="J210" s="160">
        <f t="shared" si="60"/>
        <v>10922</v>
      </c>
      <c r="K210" s="159">
        <f t="shared" si="52"/>
        <v>22714</v>
      </c>
      <c r="L210" s="161">
        <f t="shared" si="61"/>
        <v>11205</v>
      </c>
      <c r="M210" s="127"/>
      <c r="N210" s="145">
        <v>53</v>
      </c>
      <c r="O210" s="159">
        <f t="shared" si="54"/>
        <v>22591</v>
      </c>
      <c r="P210" s="160">
        <f t="shared" si="62"/>
        <v>10763</v>
      </c>
      <c r="Q210" s="159">
        <f t="shared" si="56"/>
        <v>22933</v>
      </c>
      <c r="R210" s="161">
        <f t="shared" si="63"/>
        <v>11523</v>
      </c>
      <c r="S210" s="127"/>
      <c r="T210" s="127"/>
      <c r="U210" s="128"/>
      <c r="V210" s="127"/>
      <c r="W210" s="122"/>
      <c r="X210" s="122"/>
      <c r="Y210" s="122"/>
      <c r="Z210" s="122"/>
      <c r="AA210" s="56"/>
      <c r="AB210" s="56"/>
      <c r="AC210" s="56"/>
      <c r="AD210" s="56"/>
    </row>
    <row r="211" spans="2:30">
      <c r="B211" s="145">
        <v>54</v>
      </c>
      <c r="C211" s="159">
        <f t="shared" si="46"/>
        <v>23018</v>
      </c>
      <c r="D211" s="160">
        <f t="shared" si="58"/>
        <v>10704</v>
      </c>
      <c r="E211" s="159">
        <f t="shared" si="48"/>
        <v>23018</v>
      </c>
      <c r="F211" s="161">
        <f t="shared" si="59"/>
        <v>10704</v>
      </c>
      <c r="G211" s="128"/>
      <c r="H211" s="145">
        <v>54</v>
      </c>
      <c r="I211" s="159">
        <f t="shared" si="50"/>
        <v>23018</v>
      </c>
      <c r="J211" s="160">
        <f t="shared" si="60"/>
        <v>10596</v>
      </c>
      <c r="K211" s="159">
        <f t="shared" si="52"/>
        <v>23143</v>
      </c>
      <c r="L211" s="161">
        <f t="shared" si="61"/>
        <v>10890</v>
      </c>
      <c r="M211" s="127"/>
      <c r="N211" s="145">
        <v>54</v>
      </c>
      <c r="O211" s="159">
        <f t="shared" si="54"/>
        <v>23018</v>
      </c>
      <c r="P211" s="160">
        <f t="shared" si="62"/>
        <v>10434</v>
      </c>
      <c r="Q211" s="159">
        <f t="shared" si="56"/>
        <v>23365</v>
      </c>
      <c r="R211" s="161">
        <f t="shared" si="63"/>
        <v>11214</v>
      </c>
      <c r="S211" s="127"/>
      <c r="T211" s="127"/>
      <c r="U211" s="128"/>
      <c r="V211" s="127"/>
      <c r="W211" s="122"/>
      <c r="X211" s="122"/>
      <c r="Y211" s="122"/>
      <c r="Z211" s="122"/>
      <c r="AA211" s="56"/>
      <c r="AB211" s="56"/>
      <c r="AC211" s="56"/>
      <c r="AD211" s="56"/>
    </row>
    <row r="212" spans="2:30">
      <c r="B212" s="145">
        <v>55</v>
      </c>
      <c r="C212" s="159">
        <f t="shared" si="46"/>
        <v>23444</v>
      </c>
      <c r="D212" s="160">
        <f t="shared" si="58"/>
        <v>10380</v>
      </c>
      <c r="E212" s="159">
        <f t="shared" si="48"/>
        <v>23444</v>
      </c>
      <c r="F212" s="161">
        <f t="shared" si="59"/>
        <v>10380</v>
      </c>
      <c r="G212" s="128"/>
      <c r="H212" s="145">
        <v>55</v>
      </c>
      <c r="I212" s="159">
        <f t="shared" si="50"/>
        <v>23444</v>
      </c>
      <c r="J212" s="160">
        <f t="shared" si="60"/>
        <v>10270</v>
      </c>
      <c r="K212" s="159">
        <f t="shared" si="52"/>
        <v>23571</v>
      </c>
      <c r="L212" s="161">
        <f t="shared" si="61"/>
        <v>10575</v>
      </c>
      <c r="M212" s="127"/>
      <c r="N212" s="145">
        <v>55</v>
      </c>
      <c r="O212" s="159">
        <f t="shared" si="54"/>
        <v>23444</v>
      </c>
      <c r="P212" s="160">
        <f t="shared" si="62"/>
        <v>10105</v>
      </c>
      <c r="Q212" s="159">
        <f t="shared" si="56"/>
        <v>23798</v>
      </c>
      <c r="R212" s="161">
        <f t="shared" si="63"/>
        <v>10905</v>
      </c>
      <c r="S212" s="127"/>
      <c r="T212" s="127"/>
      <c r="U212" s="128"/>
      <c r="V212" s="127"/>
      <c r="W212" s="122"/>
      <c r="X212" s="122"/>
      <c r="Y212" s="122"/>
      <c r="Z212" s="122"/>
      <c r="AA212" s="56"/>
      <c r="AB212" s="56"/>
      <c r="AC212" s="56"/>
      <c r="AD212" s="56"/>
    </row>
    <row r="213" spans="2:30">
      <c r="B213" s="145">
        <v>56</v>
      </c>
      <c r="C213" s="159">
        <f t="shared" si="46"/>
        <v>23870</v>
      </c>
      <c r="D213" s="160">
        <f t="shared" si="58"/>
        <v>10056</v>
      </c>
      <c r="E213" s="159">
        <f t="shared" si="48"/>
        <v>23870</v>
      </c>
      <c r="F213" s="161">
        <f t="shared" si="59"/>
        <v>10056</v>
      </c>
      <c r="G213" s="128"/>
      <c r="H213" s="145">
        <v>56</v>
      </c>
      <c r="I213" s="159">
        <f t="shared" si="50"/>
        <v>23870</v>
      </c>
      <c r="J213" s="160">
        <f t="shared" si="60"/>
        <v>9944</v>
      </c>
      <c r="K213" s="159">
        <f t="shared" si="52"/>
        <v>24000</v>
      </c>
      <c r="L213" s="161">
        <f t="shared" si="61"/>
        <v>10260</v>
      </c>
      <c r="M213" s="127"/>
      <c r="N213" s="145">
        <v>56</v>
      </c>
      <c r="O213" s="159">
        <f t="shared" si="54"/>
        <v>23870</v>
      </c>
      <c r="P213" s="160">
        <f t="shared" si="62"/>
        <v>9776</v>
      </c>
      <c r="Q213" s="159">
        <f t="shared" si="56"/>
        <v>24231</v>
      </c>
      <c r="R213" s="161">
        <f t="shared" si="63"/>
        <v>10596</v>
      </c>
      <c r="S213" s="127"/>
      <c r="T213" s="127"/>
      <c r="U213" s="128"/>
      <c r="V213" s="127"/>
      <c r="W213" s="122"/>
      <c r="X213" s="122"/>
      <c r="Y213" s="122"/>
      <c r="Z213" s="122"/>
      <c r="AA213" s="56"/>
      <c r="AB213" s="56"/>
      <c r="AC213" s="56"/>
      <c r="AD213" s="56"/>
    </row>
    <row r="214" spans="2:30">
      <c r="B214" s="145">
        <v>57</v>
      </c>
      <c r="C214" s="159">
        <f t="shared" si="46"/>
        <v>24296</v>
      </c>
      <c r="D214" s="160">
        <f t="shared" si="58"/>
        <v>9732</v>
      </c>
      <c r="E214" s="159">
        <f t="shared" si="48"/>
        <v>24296</v>
      </c>
      <c r="F214" s="161">
        <f t="shared" si="59"/>
        <v>9732</v>
      </c>
      <c r="G214" s="128"/>
      <c r="H214" s="145">
        <v>57</v>
      </c>
      <c r="I214" s="159">
        <f t="shared" si="50"/>
        <v>24296</v>
      </c>
      <c r="J214" s="160">
        <f t="shared" si="60"/>
        <v>9618</v>
      </c>
      <c r="K214" s="159">
        <f t="shared" si="52"/>
        <v>24429</v>
      </c>
      <c r="L214" s="161">
        <f t="shared" si="61"/>
        <v>9945</v>
      </c>
      <c r="M214" s="127"/>
      <c r="N214" s="145">
        <v>57</v>
      </c>
      <c r="O214" s="159">
        <f t="shared" si="54"/>
        <v>24296</v>
      </c>
      <c r="P214" s="160">
        <f t="shared" si="62"/>
        <v>9447</v>
      </c>
      <c r="Q214" s="159">
        <f t="shared" si="56"/>
        <v>24663</v>
      </c>
      <c r="R214" s="161">
        <f t="shared" si="63"/>
        <v>10287</v>
      </c>
      <c r="S214" s="127"/>
      <c r="T214" s="127"/>
      <c r="U214" s="128"/>
      <c r="V214" s="127"/>
      <c r="W214" s="122"/>
      <c r="X214" s="122"/>
      <c r="Y214" s="122"/>
      <c r="Z214" s="122"/>
      <c r="AA214" s="56"/>
      <c r="AB214" s="56"/>
      <c r="AC214" s="56"/>
      <c r="AD214" s="56"/>
    </row>
    <row r="215" spans="2:30">
      <c r="B215" s="145">
        <v>58</v>
      </c>
      <c r="C215" s="159">
        <f t="shared" si="46"/>
        <v>24723</v>
      </c>
      <c r="D215" s="160">
        <f t="shared" si="58"/>
        <v>9408</v>
      </c>
      <c r="E215" s="159">
        <f t="shared" si="48"/>
        <v>24723</v>
      </c>
      <c r="F215" s="161">
        <f t="shared" si="59"/>
        <v>9408</v>
      </c>
      <c r="G215" s="128"/>
      <c r="H215" s="145">
        <v>58</v>
      </c>
      <c r="I215" s="159">
        <f t="shared" si="50"/>
        <v>24723</v>
      </c>
      <c r="J215" s="160">
        <f t="shared" si="60"/>
        <v>9292</v>
      </c>
      <c r="K215" s="159">
        <f t="shared" si="52"/>
        <v>24857</v>
      </c>
      <c r="L215" s="161">
        <f t="shared" si="61"/>
        <v>9630</v>
      </c>
      <c r="M215" s="127"/>
      <c r="N215" s="145">
        <v>58</v>
      </c>
      <c r="O215" s="159">
        <f t="shared" si="54"/>
        <v>24723</v>
      </c>
      <c r="P215" s="160">
        <f t="shared" si="62"/>
        <v>9118</v>
      </c>
      <c r="Q215" s="159">
        <f t="shared" si="56"/>
        <v>25096</v>
      </c>
      <c r="R215" s="161">
        <f t="shared" si="63"/>
        <v>9978</v>
      </c>
      <c r="S215" s="127"/>
      <c r="T215" s="127"/>
      <c r="U215" s="128"/>
      <c r="V215" s="127"/>
      <c r="W215" s="122"/>
      <c r="X215" s="122"/>
      <c r="Y215" s="122"/>
      <c r="Z215" s="122"/>
      <c r="AA215" s="56"/>
      <c r="AB215" s="56"/>
      <c r="AC215" s="56"/>
      <c r="AD215" s="56"/>
    </row>
    <row r="216" spans="2:30">
      <c r="B216" s="145">
        <v>59</v>
      </c>
      <c r="C216" s="159">
        <f t="shared" si="46"/>
        <v>25149</v>
      </c>
      <c r="D216" s="160">
        <f t="shared" si="58"/>
        <v>9084</v>
      </c>
      <c r="E216" s="159">
        <f t="shared" si="48"/>
        <v>25149</v>
      </c>
      <c r="F216" s="161">
        <f t="shared" si="59"/>
        <v>9084</v>
      </c>
      <c r="G216" s="128"/>
      <c r="H216" s="145">
        <v>59</v>
      </c>
      <c r="I216" s="159">
        <f t="shared" si="50"/>
        <v>25149</v>
      </c>
      <c r="J216" s="160">
        <f t="shared" si="60"/>
        <v>8966</v>
      </c>
      <c r="K216" s="159">
        <f t="shared" si="52"/>
        <v>25286</v>
      </c>
      <c r="L216" s="161">
        <f t="shared" si="61"/>
        <v>9315</v>
      </c>
      <c r="M216" s="127"/>
      <c r="N216" s="145">
        <v>59</v>
      </c>
      <c r="O216" s="159">
        <f t="shared" si="54"/>
        <v>25149</v>
      </c>
      <c r="P216" s="160">
        <f t="shared" si="62"/>
        <v>8789</v>
      </c>
      <c r="Q216" s="159">
        <f t="shared" si="56"/>
        <v>25529</v>
      </c>
      <c r="R216" s="161">
        <f t="shared" si="63"/>
        <v>9669</v>
      </c>
      <c r="S216" s="127"/>
      <c r="T216" s="127"/>
      <c r="U216" s="128"/>
      <c r="V216" s="127"/>
      <c r="W216" s="122"/>
      <c r="X216" s="122"/>
      <c r="Y216" s="122"/>
      <c r="Z216" s="122"/>
      <c r="AA216" s="56"/>
      <c r="AB216" s="56"/>
      <c r="AC216" s="56"/>
      <c r="AD216" s="56"/>
    </row>
    <row r="217" spans="2:30">
      <c r="B217" s="146">
        <v>60</v>
      </c>
      <c r="C217" s="162">
        <f t="shared" si="46"/>
        <v>25575</v>
      </c>
      <c r="D217" s="163">
        <f t="shared" si="58"/>
        <v>8760</v>
      </c>
      <c r="E217" s="162">
        <f t="shared" si="48"/>
        <v>25575</v>
      </c>
      <c r="F217" s="164">
        <f t="shared" si="59"/>
        <v>8760</v>
      </c>
      <c r="G217" s="128"/>
      <c r="H217" s="146">
        <v>60</v>
      </c>
      <c r="I217" s="162">
        <f t="shared" si="50"/>
        <v>25575</v>
      </c>
      <c r="J217" s="163">
        <f t="shared" si="60"/>
        <v>8640</v>
      </c>
      <c r="K217" s="162">
        <f t="shared" si="52"/>
        <v>25714</v>
      </c>
      <c r="L217" s="164">
        <f t="shared" si="61"/>
        <v>9000</v>
      </c>
      <c r="M217" s="127"/>
      <c r="N217" s="146">
        <v>60</v>
      </c>
      <c r="O217" s="162">
        <f t="shared" si="54"/>
        <v>25575</v>
      </c>
      <c r="P217" s="163">
        <f t="shared" si="62"/>
        <v>8460</v>
      </c>
      <c r="Q217" s="162">
        <f t="shared" si="56"/>
        <v>25962</v>
      </c>
      <c r="R217" s="164">
        <f t="shared" si="63"/>
        <v>9360</v>
      </c>
      <c r="S217" s="127"/>
      <c r="T217" s="127"/>
      <c r="U217" s="128"/>
      <c r="V217" s="127"/>
      <c r="W217" s="122"/>
      <c r="X217" s="122"/>
      <c r="Y217" s="122"/>
      <c r="Z217" s="122"/>
      <c r="AA217" s="56"/>
      <c r="AB217" s="56"/>
      <c r="AC217" s="56"/>
      <c r="AD217" s="56"/>
    </row>
    <row r="218" spans="2:30">
      <c r="B218" s="145">
        <v>61</v>
      </c>
      <c r="C218" s="159">
        <f t="shared" si="46"/>
        <v>26001</v>
      </c>
      <c r="D218" s="160">
        <f t="shared" si="58"/>
        <v>8436</v>
      </c>
      <c r="E218" s="159">
        <f t="shared" si="48"/>
        <v>26001</v>
      </c>
      <c r="F218" s="161">
        <f t="shared" si="59"/>
        <v>8436</v>
      </c>
      <c r="G218" s="128"/>
      <c r="H218" s="145">
        <v>61</v>
      </c>
      <c r="I218" s="159">
        <f t="shared" si="50"/>
        <v>26001</v>
      </c>
      <c r="J218" s="160">
        <f t="shared" si="60"/>
        <v>8314</v>
      </c>
      <c r="K218" s="159">
        <f t="shared" si="52"/>
        <v>26143</v>
      </c>
      <c r="L218" s="161">
        <f t="shared" si="61"/>
        <v>8685</v>
      </c>
      <c r="M218" s="127"/>
      <c r="N218" s="145">
        <v>61</v>
      </c>
      <c r="O218" s="159">
        <f t="shared" si="54"/>
        <v>26001</v>
      </c>
      <c r="P218" s="160">
        <f t="shared" si="62"/>
        <v>8131</v>
      </c>
      <c r="Q218" s="159">
        <f t="shared" si="56"/>
        <v>26394</v>
      </c>
      <c r="R218" s="161">
        <f t="shared" si="63"/>
        <v>9051</v>
      </c>
      <c r="S218" s="127"/>
      <c r="T218" s="127"/>
      <c r="U218" s="128"/>
      <c r="V218" s="127"/>
      <c r="W218" s="122"/>
      <c r="X218" s="122"/>
      <c r="Y218" s="122"/>
      <c r="Z218" s="122"/>
      <c r="AA218" s="56"/>
      <c r="AB218" s="56"/>
      <c r="AC218" s="56"/>
      <c r="AD218" s="56"/>
    </row>
    <row r="219" spans="2:30">
      <c r="B219" s="145">
        <v>62</v>
      </c>
      <c r="C219" s="159">
        <f t="shared" si="46"/>
        <v>26428</v>
      </c>
      <c r="D219" s="160">
        <f t="shared" si="58"/>
        <v>8112</v>
      </c>
      <c r="E219" s="159">
        <f t="shared" si="48"/>
        <v>26428</v>
      </c>
      <c r="F219" s="161">
        <f t="shared" si="59"/>
        <v>8112</v>
      </c>
      <c r="G219" s="128"/>
      <c r="H219" s="145">
        <v>62</v>
      </c>
      <c r="I219" s="159">
        <f t="shared" si="50"/>
        <v>26428</v>
      </c>
      <c r="J219" s="160">
        <f t="shared" si="60"/>
        <v>7988</v>
      </c>
      <c r="K219" s="159">
        <f t="shared" si="52"/>
        <v>26571</v>
      </c>
      <c r="L219" s="161">
        <f t="shared" si="61"/>
        <v>8370</v>
      </c>
      <c r="M219" s="127"/>
      <c r="N219" s="145">
        <v>62</v>
      </c>
      <c r="O219" s="159">
        <f t="shared" si="54"/>
        <v>26428</v>
      </c>
      <c r="P219" s="160">
        <f t="shared" si="62"/>
        <v>7802</v>
      </c>
      <c r="Q219" s="159">
        <f t="shared" si="56"/>
        <v>26827</v>
      </c>
      <c r="R219" s="161">
        <f t="shared" si="63"/>
        <v>8742</v>
      </c>
      <c r="S219" s="127"/>
      <c r="T219" s="127"/>
      <c r="U219" s="128"/>
      <c r="V219" s="127"/>
      <c r="W219" s="122"/>
      <c r="X219" s="122"/>
      <c r="Y219" s="122"/>
      <c r="Z219" s="122"/>
      <c r="AA219" s="56"/>
      <c r="AB219" s="56"/>
      <c r="AC219" s="56"/>
      <c r="AD219" s="56"/>
    </row>
    <row r="220" spans="2:30">
      <c r="B220" s="145">
        <v>63</v>
      </c>
      <c r="C220" s="159">
        <f t="shared" si="46"/>
        <v>26854</v>
      </c>
      <c r="D220" s="160">
        <f t="shared" si="58"/>
        <v>7788</v>
      </c>
      <c r="E220" s="159">
        <f t="shared" si="48"/>
        <v>26854</v>
      </c>
      <c r="F220" s="161">
        <f t="shared" si="59"/>
        <v>7788</v>
      </c>
      <c r="G220" s="128"/>
      <c r="H220" s="145">
        <v>63</v>
      </c>
      <c r="I220" s="159">
        <f t="shared" si="50"/>
        <v>26854</v>
      </c>
      <c r="J220" s="160">
        <f t="shared" si="60"/>
        <v>7662</v>
      </c>
      <c r="K220" s="159">
        <f t="shared" si="52"/>
        <v>27000</v>
      </c>
      <c r="L220" s="161">
        <f t="shared" si="61"/>
        <v>8055</v>
      </c>
      <c r="M220" s="127"/>
      <c r="N220" s="145">
        <v>63</v>
      </c>
      <c r="O220" s="159">
        <f t="shared" si="54"/>
        <v>26854</v>
      </c>
      <c r="P220" s="160">
        <f t="shared" si="62"/>
        <v>7473</v>
      </c>
      <c r="Q220" s="159">
        <f t="shared" si="56"/>
        <v>27260</v>
      </c>
      <c r="R220" s="161">
        <f t="shared" si="63"/>
        <v>8433</v>
      </c>
      <c r="S220" s="127"/>
      <c r="T220" s="127"/>
      <c r="U220" s="128"/>
      <c r="V220" s="127"/>
      <c r="W220" s="122"/>
      <c r="X220" s="122"/>
      <c r="Y220" s="122"/>
      <c r="Z220" s="122"/>
      <c r="AA220" s="56"/>
      <c r="AB220" s="56"/>
      <c r="AC220" s="56"/>
      <c r="AD220" s="56"/>
    </row>
    <row r="221" spans="2:30">
      <c r="B221" s="145">
        <v>64</v>
      </c>
      <c r="C221" s="159">
        <f t="shared" si="46"/>
        <v>27280</v>
      </c>
      <c r="D221" s="160">
        <f t="shared" si="58"/>
        <v>7464</v>
      </c>
      <c r="E221" s="159">
        <f t="shared" si="48"/>
        <v>27280</v>
      </c>
      <c r="F221" s="161">
        <f t="shared" si="59"/>
        <v>7464</v>
      </c>
      <c r="G221" s="128"/>
      <c r="H221" s="145">
        <v>64</v>
      </c>
      <c r="I221" s="159">
        <f t="shared" si="50"/>
        <v>27280</v>
      </c>
      <c r="J221" s="160">
        <f t="shared" si="60"/>
        <v>7336</v>
      </c>
      <c r="K221" s="159">
        <f t="shared" si="52"/>
        <v>27429</v>
      </c>
      <c r="L221" s="161">
        <f t="shared" si="61"/>
        <v>7740</v>
      </c>
      <c r="M221" s="127"/>
      <c r="N221" s="145">
        <v>64</v>
      </c>
      <c r="O221" s="159">
        <f t="shared" si="54"/>
        <v>27280</v>
      </c>
      <c r="P221" s="160">
        <f t="shared" si="62"/>
        <v>7144</v>
      </c>
      <c r="Q221" s="159">
        <f t="shared" si="56"/>
        <v>27692</v>
      </c>
      <c r="R221" s="161">
        <f t="shared" si="63"/>
        <v>8124</v>
      </c>
      <c r="S221" s="127"/>
      <c r="T221" s="127"/>
      <c r="U221" s="128"/>
      <c r="V221" s="127"/>
      <c r="W221" s="122"/>
      <c r="X221" s="122"/>
      <c r="Y221" s="122"/>
      <c r="Z221" s="122"/>
      <c r="AA221" s="56"/>
      <c r="AB221" s="56"/>
      <c r="AC221" s="56"/>
      <c r="AD221" s="56"/>
    </row>
    <row r="222" spans="2:30">
      <c r="B222" s="145">
        <v>65</v>
      </c>
      <c r="C222" s="159">
        <f t="shared" si="46"/>
        <v>27706</v>
      </c>
      <c r="D222" s="160">
        <f t="shared" si="58"/>
        <v>7140</v>
      </c>
      <c r="E222" s="159">
        <f t="shared" si="48"/>
        <v>27706</v>
      </c>
      <c r="F222" s="161">
        <f t="shared" si="59"/>
        <v>7140</v>
      </c>
      <c r="G222" s="128"/>
      <c r="H222" s="145">
        <v>65</v>
      </c>
      <c r="I222" s="159">
        <f t="shared" si="50"/>
        <v>27706</v>
      </c>
      <c r="J222" s="160">
        <f t="shared" si="60"/>
        <v>7010</v>
      </c>
      <c r="K222" s="159">
        <f t="shared" si="52"/>
        <v>27857</v>
      </c>
      <c r="L222" s="161">
        <f t="shared" si="61"/>
        <v>7425</v>
      </c>
      <c r="M222" s="127"/>
      <c r="N222" s="145">
        <v>65</v>
      </c>
      <c r="O222" s="159">
        <f t="shared" si="54"/>
        <v>27706</v>
      </c>
      <c r="P222" s="160">
        <f t="shared" si="62"/>
        <v>6815</v>
      </c>
      <c r="Q222" s="159">
        <f t="shared" si="56"/>
        <v>28125</v>
      </c>
      <c r="R222" s="161">
        <f t="shared" si="63"/>
        <v>7815</v>
      </c>
      <c r="S222" s="127"/>
      <c r="T222" s="127"/>
      <c r="U222" s="128"/>
      <c r="V222" s="127"/>
      <c r="W222" s="122"/>
      <c r="X222" s="122"/>
      <c r="Y222" s="122"/>
      <c r="Z222" s="122"/>
      <c r="AA222" s="56"/>
      <c r="AB222" s="56"/>
      <c r="AC222" s="56"/>
      <c r="AD222" s="56"/>
    </row>
    <row r="223" spans="2:30">
      <c r="B223" s="145">
        <v>66</v>
      </c>
      <c r="C223" s="159">
        <f t="shared" ref="C223:C257" si="64">ROUND(B223*$E$22,0)</f>
        <v>28133</v>
      </c>
      <c r="D223" s="160">
        <f t="shared" ref="D223:D257" si="65">ROUND(D222-($E$158-($E$158*$C$29%)),0)</f>
        <v>6816</v>
      </c>
      <c r="E223" s="159">
        <f t="shared" ref="E223:E257" si="66">ROUND(B223*$E$22,0)</f>
        <v>28133</v>
      </c>
      <c r="F223" s="161">
        <f t="shared" ref="F223:F257" si="67">ROUND(F222-($C$158-($C$158*$C$29%)),0)</f>
        <v>6816</v>
      </c>
      <c r="G223" s="128"/>
      <c r="H223" s="145">
        <v>66</v>
      </c>
      <c r="I223" s="159">
        <f t="shared" ref="I223:I257" si="68">ROUND(H223*$E$22,0)</f>
        <v>28133</v>
      </c>
      <c r="J223" s="160">
        <f t="shared" ref="J223:J257" si="69">ROUND(J222-($K$158-($K$158*$C$29%)),0)</f>
        <v>6684</v>
      </c>
      <c r="K223" s="159">
        <f t="shared" ref="K223:K257" si="70">ROUND(H223*$E$23,0)</f>
        <v>28286</v>
      </c>
      <c r="L223" s="161">
        <f t="shared" ref="L223:L257" si="71">ROUND(L222-($I$158-($I$158*$D$29%)),0)</f>
        <v>7110</v>
      </c>
      <c r="M223" s="127"/>
      <c r="N223" s="145">
        <v>66</v>
      </c>
      <c r="O223" s="159">
        <f t="shared" ref="O223:O257" si="72">ROUND(N223*$E$22,0)</f>
        <v>28133</v>
      </c>
      <c r="P223" s="160">
        <f t="shared" ref="P223:P257" si="73">ROUND(P222-($Q$158-($Q$158*$C$29%)),0)</f>
        <v>6486</v>
      </c>
      <c r="Q223" s="159">
        <f t="shared" ref="Q223:Q257" si="74">ROUND(N223*$E$24,0)</f>
        <v>28558</v>
      </c>
      <c r="R223" s="161">
        <f t="shared" ref="R223:R257" si="75">ROUND(R222-($O$158-($O$158*$E$29%)),0)</f>
        <v>7506</v>
      </c>
      <c r="S223" s="127"/>
      <c r="T223" s="127"/>
      <c r="U223" s="128"/>
      <c r="V223" s="127"/>
      <c r="W223" s="122"/>
      <c r="X223" s="122"/>
      <c r="Y223" s="122"/>
      <c r="Z223" s="122"/>
      <c r="AA223" s="56"/>
      <c r="AB223" s="56"/>
      <c r="AC223" s="56"/>
      <c r="AD223" s="56"/>
    </row>
    <row r="224" spans="2:30">
      <c r="B224" s="145">
        <v>67</v>
      </c>
      <c r="C224" s="159">
        <f t="shared" si="64"/>
        <v>28559</v>
      </c>
      <c r="D224" s="160">
        <f t="shared" si="65"/>
        <v>6492</v>
      </c>
      <c r="E224" s="159">
        <f t="shared" si="66"/>
        <v>28559</v>
      </c>
      <c r="F224" s="161">
        <f t="shared" si="67"/>
        <v>6492</v>
      </c>
      <c r="G224" s="128"/>
      <c r="H224" s="145">
        <v>67</v>
      </c>
      <c r="I224" s="159">
        <f t="shared" si="68"/>
        <v>28559</v>
      </c>
      <c r="J224" s="160">
        <f t="shared" si="69"/>
        <v>6358</v>
      </c>
      <c r="K224" s="159">
        <f t="shared" si="70"/>
        <v>28714</v>
      </c>
      <c r="L224" s="161">
        <f t="shared" si="71"/>
        <v>6795</v>
      </c>
      <c r="M224" s="127"/>
      <c r="N224" s="145">
        <v>67</v>
      </c>
      <c r="O224" s="159">
        <f t="shared" si="72"/>
        <v>28559</v>
      </c>
      <c r="P224" s="160">
        <f t="shared" si="73"/>
        <v>6157</v>
      </c>
      <c r="Q224" s="159">
        <f t="shared" si="74"/>
        <v>28990</v>
      </c>
      <c r="R224" s="161">
        <f t="shared" si="75"/>
        <v>7197</v>
      </c>
      <c r="S224" s="127"/>
      <c r="T224" s="127"/>
      <c r="U224" s="128"/>
      <c r="V224" s="127"/>
      <c r="W224" s="122"/>
      <c r="X224" s="122"/>
      <c r="Y224" s="122"/>
      <c r="Z224" s="122"/>
      <c r="AA224" s="56"/>
      <c r="AB224" s="56"/>
      <c r="AC224" s="56"/>
      <c r="AD224" s="56"/>
    </row>
    <row r="225" spans="2:30">
      <c r="B225" s="145">
        <v>68</v>
      </c>
      <c r="C225" s="159">
        <f t="shared" si="64"/>
        <v>28985</v>
      </c>
      <c r="D225" s="160">
        <f t="shared" si="65"/>
        <v>6168</v>
      </c>
      <c r="E225" s="159">
        <f t="shared" si="66"/>
        <v>28985</v>
      </c>
      <c r="F225" s="161">
        <f t="shared" si="67"/>
        <v>6168</v>
      </c>
      <c r="G225" s="128"/>
      <c r="H225" s="145">
        <v>68</v>
      </c>
      <c r="I225" s="159">
        <f t="shared" si="68"/>
        <v>28985</v>
      </c>
      <c r="J225" s="160">
        <f t="shared" si="69"/>
        <v>6032</v>
      </c>
      <c r="K225" s="159">
        <f t="shared" si="70"/>
        <v>29143</v>
      </c>
      <c r="L225" s="161">
        <f t="shared" si="71"/>
        <v>6480</v>
      </c>
      <c r="M225" s="127"/>
      <c r="N225" s="145">
        <v>68</v>
      </c>
      <c r="O225" s="159">
        <f t="shared" si="72"/>
        <v>28985</v>
      </c>
      <c r="P225" s="160">
        <f t="shared" si="73"/>
        <v>5828</v>
      </c>
      <c r="Q225" s="159">
        <f t="shared" si="74"/>
        <v>29423</v>
      </c>
      <c r="R225" s="161">
        <f t="shared" si="75"/>
        <v>6888</v>
      </c>
      <c r="S225" s="127"/>
      <c r="T225" s="127"/>
      <c r="U225" s="128"/>
      <c r="V225" s="127"/>
      <c r="W225" s="122"/>
      <c r="X225" s="122"/>
      <c r="Y225" s="122"/>
      <c r="Z225" s="122"/>
      <c r="AA225" s="56"/>
      <c r="AB225" s="56"/>
      <c r="AC225" s="56"/>
      <c r="AD225" s="56"/>
    </row>
    <row r="226" spans="2:30">
      <c r="B226" s="145">
        <v>69</v>
      </c>
      <c r="C226" s="159">
        <f t="shared" si="64"/>
        <v>29411</v>
      </c>
      <c r="D226" s="160">
        <f t="shared" si="65"/>
        <v>5844</v>
      </c>
      <c r="E226" s="159">
        <f t="shared" si="66"/>
        <v>29411</v>
      </c>
      <c r="F226" s="161">
        <f t="shared" si="67"/>
        <v>5844</v>
      </c>
      <c r="G226" s="128"/>
      <c r="H226" s="145">
        <v>69</v>
      </c>
      <c r="I226" s="159">
        <f t="shared" si="68"/>
        <v>29411</v>
      </c>
      <c r="J226" s="160">
        <f t="shared" si="69"/>
        <v>5706</v>
      </c>
      <c r="K226" s="159">
        <f t="shared" si="70"/>
        <v>29571</v>
      </c>
      <c r="L226" s="161">
        <f t="shared" si="71"/>
        <v>6165</v>
      </c>
      <c r="M226" s="127"/>
      <c r="N226" s="145">
        <v>69</v>
      </c>
      <c r="O226" s="159">
        <f t="shared" si="72"/>
        <v>29411</v>
      </c>
      <c r="P226" s="160">
        <f t="shared" si="73"/>
        <v>5499</v>
      </c>
      <c r="Q226" s="159">
        <f t="shared" si="74"/>
        <v>29856</v>
      </c>
      <c r="R226" s="161">
        <f t="shared" si="75"/>
        <v>6579</v>
      </c>
      <c r="S226" s="127"/>
      <c r="T226" s="127"/>
      <c r="U226" s="128"/>
      <c r="V226" s="127"/>
      <c r="W226" s="122"/>
      <c r="X226" s="122"/>
      <c r="Y226" s="122"/>
      <c r="Z226" s="122"/>
      <c r="AA226" s="56"/>
      <c r="AB226" s="56"/>
      <c r="AC226" s="56"/>
      <c r="AD226" s="56"/>
    </row>
    <row r="227" spans="2:30">
      <c r="B227" s="146">
        <v>70</v>
      </c>
      <c r="C227" s="162">
        <f t="shared" si="64"/>
        <v>29838</v>
      </c>
      <c r="D227" s="163">
        <f t="shared" si="65"/>
        <v>5520</v>
      </c>
      <c r="E227" s="162">
        <f t="shared" si="66"/>
        <v>29838</v>
      </c>
      <c r="F227" s="164">
        <f t="shared" si="67"/>
        <v>5520</v>
      </c>
      <c r="G227" s="128"/>
      <c r="H227" s="146">
        <v>70</v>
      </c>
      <c r="I227" s="162">
        <f t="shared" si="68"/>
        <v>29838</v>
      </c>
      <c r="J227" s="163">
        <f t="shared" si="69"/>
        <v>5380</v>
      </c>
      <c r="K227" s="162">
        <f t="shared" si="70"/>
        <v>30000</v>
      </c>
      <c r="L227" s="164">
        <f t="shared" si="71"/>
        <v>5850</v>
      </c>
      <c r="M227" s="127"/>
      <c r="N227" s="146">
        <v>70</v>
      </c>
      <c r="O227" s="162">
        <f t="shared" si="72"/>
        <v>29838</v>
      </c>
      <c r="P227" s="163">
        <f t="shared" si="73"/>
        <v>5170</v>
      </c>
      <c r="Q227" s="162">
        <f t="shared" si="74"/>
        <v>30288</v>
      </c>
      <c r="R227" s="164">
        <f t="shared" si="75"/>
        <v>6270</v>
      </c>
      <c r="S227" s="127"/>
      <c r="T227" s="127"/>
      <c r="U227" s="128"/>
      <c r="V227" s="127"/>
      <c r="W227" s="122"/>
      <c r="X227" s="122"/>
      <c r="Y227" s="122"/>
      <c r="Z227" s="122"/>
      <c r="AA227" s="56"/>
      <c r="AB227" s="56"/>
      <c r="AC227" s="56"/>
      <c r="AD227" s="56"/>
    </row>
    <row r="228" spans="2:30">
      <c r="B228" s="145">
        <v>71</v>
      </c>
      <c r="C228" s="159">
        <f t="shared" si="64"/>
        <v>30264</v>
      </c>
      <c r="D228" s="160">
        <f t="shared" si="65"/>
        <v>5196</v>
      </c>
      <c r="E228" s="159">
        <f t="shared" si="66"/>
        <v>30264</v>
      </c>
      <c r="F228" s="161">
        <f t="shared" si="67"/>
        <v>5196</v>
      </c>
      <c r="G228" s="128"/>
      <c r="H228" s="145">
        <v>71</v>
      </c>
      <c r="I228" s="159">
        <f t="shared" si="68"/>
        <v>30264</v>
      </c>
      <c r="J228" s="160">
        <f t="shared" si="69"/>
        <v>5054</v>
      </c>
      <c r="K228" s="159">
        <f t="shared" si="70"/>
        <v>30429</v>
      </c>
      <c r="L228" s="161">
        <f t="shared" si="71"/>
        <v>5535</v>
      </c>
      <c r="M228" s="127"/>
      <c r="N228" s="145">
        <v>71</v>
      </c>
      <c r="O228" s="159">
        <f t="shared" si="72"/>
        <v>30264</v>
      </c>
      <c r="P228" s="160">
        <f t="shared" si="73"/>
        <v>4841</v>
      </c>
      <c r="Q228" s="159">
        <f t="shared" si="74"/>
        <v>30721</v>
      </c>
      <c r="R228" s="161">
        <f t="shared" si="75"/>
        <v>5961</v>
      </c>
      <c r="S228" s="127"/>
      <c r="T228" s="127"/>
      <c r="U228" s="128"/>
      <c r="V228" s="127"/>
      <c r="W228" s="122"/>
      <c r="X228" s="122"/>
      <c r="Y228" s="122"/>
      <c r="Z228" s="122"/>
      <c r="AA228" s="56"/>
      <c r="AB228" s="56"/>
      <c r="AC228" s="56"/>
      <c r="AD228" s="56"/>
    </row>
    <row r="229" spans="2:30">
      <c r="B229" s="145">
        <v>72</v>
      </c>
      <c r="C229" s="159">
        <f t="shared" si="64"/>
        <v>30690</v>
      </c>
      <c r="D229" s="160">
        <f t="shared" si="65"/>
        <v>4872</v>
      </c>
      <c r="E229" s="159">
        <f t="shared" si="66"/>
        <v>30690</v>
      </c>
      <c r="F229" s="161">
        <f t="shared" si="67"/>
        <v>4872</v>
      </c>
      <c r="G229" s="128"/>
      <c r="H229" s="145">
        <v>72</v>
      </c>
      <c r="I229" s="159">
        <f t="shared" si="68"/>
        <v>30690</v>
      </c>
      <c r="J229" s="160">
        <f t="shared" si="69"/>
        <v>4728</v>
      </c>
      <c r="K229" s="159">
        <f t="shared" si="70"/>
        <v>30857</v>
      </c>
      <c r="L229" s="161">
        <f t="shared" si="71"/>
        <v>5220</v>
      </c>
      <c r="M229" s="127"/>
      <c r="N229" s="145">
        <v>72</v>
      </c>
      <c r="O229" s="159">
        <f t="shared" si="72"/>
        <v>30690</v>
      </c>
      <c r="P229" s="160">
        <f t="shared" si="73"/>
        <v>4512</v>
      </c>
      <c r="Q229" s="159">
        <f t="shared" si="74"/>
        <v>31154</v>
      </c>
      <c r="R229" s="161">
        <f t="shared" si="75"/>
        <v>5652</v>
      </c>
      <c r="S229" s="127"/>
      <c r="T229" s="127"/>
      <c r="U229" s="128"/>
      <c r="V229" s="127"/>
      <c r="W229" s="122"/>
      <c r="X229" s="122"/>
      <c r="Y229" s="122"/>
      <c r="Z229" s="122"/>
      <c r="AA229" s="56"/>
      <c r="AB229" s="56"/>
      <c r="AC229" s="56"/>
      <c r="AD229" s="56"/>
    </row>
    <row r="230" spans="2:30">
      <c r="B230" s="145">
        <v>73</v>
      </c>
      <c r="C230" s="159">
        <f t="shared" si="64"/>
        <v>31116</v>
      </c>
      <c r="D230" s="160">
        <f t="shared" si="65"/>
        <v>4548</v>
      </c>
      <c r="E230" s="159">
        <f t="shared" si="66"/>
        <v>31116</v>
      </c>
      <c r="F230" s="161">
        <f t="shared" si="67"/>
        <v>4548</v>
      </c>
      <c r="G230" s="128"/>
      <c r="H230" s="145">
        <v>73</v>
      </c>
      <c r="I230" s="159">
        <f t="shared" si="68"/>
        <v>31116</v>
      </c>
      <c r="J230" s="160">
        <f t="shared" si="69"/>
        <v>4402</v>
      </c>
      <c r="K230" s="159">
        <f t="shared" si="70"/>
        <v>31286</v>
      </c>
      <c r="L230" s="161">
        <f t="shared" si="71"/>
        <v>4905</v>
      </c>
      <c r="M230" s="127"/>
      <c r="N230" s="145">
        <v>73</v>
      </c>
      <c r="O230" s="159">
        <f t="shared" si="72"/>
        <v>31116</v>
      </c>
      <c r="P230" s="160">
        <f t="shared" si="73"/>
        <v>4183</v>
      </c>
      <c r="Q230" s="159">
        <f t="shared" si="74"/>
        <v>31587</v>
      </c>
      <c r="R230" s="161">
        <f t="shared" si="75"/>
        <v>5343</v>
      </c>
      <c r="S230" s="127"/>
      <c r="T230" s="127"/>
      <c r="U230" s="128"/>
      <c r="V230" s="127"/>
      <c r="W230" s="122"/>
      <c r="X230" s="122"/>
      <c r="Y230" s="122"/>
      <c r="Z230" s="122"/>
      <c r="AA230" s="56"/>
      <c r="AB230" s="56"/>
      <c r="AC230" s="56"/>
      <c r="AD230" s="56"/>
    </row>
    <row r="231" spans="2:30">
      <c r="B231" s="145">
        <v>74</v>
      </c>
      <c r="C231" s="159">
        <f t="shared" si="64"/>
        <v>31543</v>
      </c>
      <c r="D231" s="160">
        <f t="shared" si="65"/>
        <v>4224</v>
      </c>
      <c r="E231" s="159">
        <f t="shared" si="66"/>
        <v>31543</v>
      </c>
      <c r="F231" s="161">
        <f t="shared" si="67"/>
        <v>4224</v>
      </c>
      <c r="G231" s="128"/>
      <c r="H231" s="145">
        <v>74</v>
      </c>
      <c r="I231" s="159">
        <f t="shared" si="68"/>
        <v>31543</v>
      </c>
      <c r="J231" s="160">
        <f t="shared" si="69"/>
        <v>4076</v>
      </c>
      <c r="K231" s="159">
        <f t="shared" si="70"/>
        <v>31714</v>
      </c>
      <c r="L231" s="161">
        <f t="shared" si="71"/>
        <v>4590</v>
      </c>
      <c r="M231" s="127"/>
      <c r="N231" s="145">
        <v>74</v>
      </c>
      <c r="O231" s="159">
        <f t="shared" si="72"/>
        <v>31543</v>
      </c>
      <c r="P231" s="160">
        <f t="shared" si="73"/>
        <v>3854</v>
      </c>
      <c r="Q231" s="159">
        <f t="shared" si="74"/>
        <v>32019</v>
      </c>
      <c r="R231" s="161">
        <f t="shared" si="75"/>
        <v>5034</v>
      </c>
      <c r="S231" s="127"/>
      <c r="T231" s="127"/>
      <c r="U231" s="128"/>
      <c r="V231" s="127"/>
      <c r="W231" s="122"/>
      <c r="X231" s="122"/>
      <c r="Y231" s="122"/>
      <c r="Z231" s="122"/>
      <c r="AA231" s="56"/>
      <c r="AB231" s="56"/>
      <c r="AC231" s="56"/>
      <c r="AD231" s="56"/>
    </row>
    <row r="232" spans="2:30">
      <c r="B232" s="145">
        <v>75</v>
      </c>
      <c r="C232" s="159">
        <f t="shared" si="64"/>
        <v>31969</v>
      </c>
      <c r="D232" s="160">
        <f t="shared" si="65"/>
        <v>3900</v>
      </c>
      <c r="E232" s="159">
        <f t="shared" si="66"/>
        <v>31969</v>
      </c>
      <c r="F232" s="161">
        <f t="shared" si="67"/>
        <v>3900</v>
      </c>
      <c r="G232" s="128"/>
      <c r="H232" s="145">
        <v>75</v>
      </c>
      <c r="I232" s="159">
        <f t="shared" si="68"/>
        <v>31969</v>
      </c>
      <c r="J232" s="160">
        <f t="shared" si="69"/>
        <v>3750</v>
      </c>
      <c r="K232" s="159">
        <f t="shared" si="70"/>
        <v>32143</v>
      </c>
      <c r="L232" s="161">
        <f t="shared" si="71"/>
        <v>4275</v>
      </c>
      <c r="M232" s="127"/>
      <c r="N232" s="145">
        <v>75</v>
      </c>
      <c r="O232" s="159">
        <f t="shared" si="72"/>
        <v>31969</v>
      </c>
      <c r="P232" s="160">
        <f t="shared" si="73"/>
        <v>3525</v>
      </c>
      <c r="Q232" s="159">
        <f t="shared" si="74"/>
        <v>32452</v>
      </c>
      <c r="R232" s="161">
        <f t="shared" si="75"/>
        <v>4725</v>
      </c>
      <c r="S232" s="127"/>
      <c r="T232" s="127"/>
      <c r="U232" s="128"/>
      <c r="V232" s="127"/>
      <c r="W232" s="122"/>
      <c r="X232" s="122"/>
      <c r="Y232" s="122"/>
      <c r="Z232" s="122"/>
      <c r="AA232" s="56"/>
      <c r="AB232" s="56"/>
      <c r="AC232" s="56"/>
      <c r="AD232" s="56"/>
    </row>
    <row r="233" spans="2:30">
      <c r="B233" s="145">
        <v>76</v>
      </c>
      <c r="C233" s="159">
        <f t="shared" si="64"/>
        <v>32395</v>
      </c>
      <c r="D233" s="160">
        <f t="shared" si="65"/>
        <v>3576</v>
      </c>
      <c r="E233" s="159">
        <f t="shared" si="66"/>
        <v>32395</v>
      </c>
      <c r="F233" s="161">
        <f t="shared" si="67"/>
        <v>3576</v>
      </c>
      <c r="G233" s="128"/>
      <c r="H233" s="145">
        <v>76</v>
      </c>
      <c r="I233" s="159">
        <f t="shared" si="68"/>
        <v>32395</v>
      </c>
      <c r="J233" s="160">
        <f t="shared" si="69"/>
        <v>3424</v>
      </c>
      <c r="K233" s="159">
        <f t="shared" si="70"/>
        <v>32571</v>
      </c>
      <c r="L233" s="161">
        <f t="shared" si="71"/>
        <v>3960</v>
      </c>
      <c r="M233" s="127"/>
      <c r="N233" s="145">
        <v>76</v>
      </c>
      <c r="O233" s="159">
        <f t="shared" si="72"/>
        <v>32395</v>
      </c>
      <c r="P233" s="160">
        <f t="shared" si="73"/>
        <v>3196</v>
      </c>
      <c r="Q233" s="159">
        <f t="shared" si="74"/>
        <v>32885</v>
      </c>
      <c r="R233" s="161">
        <f t="shared" si="75"/>
        <v>4416</v>
      </c>
      <c r="S233" s="127"/>
      <c r="T233" s="127"/>
      <c r="U233" s="128"/>
      <c r="V233" s="127"/>
      <c r="W233" s="122"/>
      <c r="X233" s="122"/>
      <c r="Y233" s="122"/>
      <c r="Z233" s="122"/>
      <c r="AA233" s="56"/>
      <c r="AB233" s="56"/>
      <c r="AC233" s="56"/>
      <c r="AD233" s="56"/>
    </row>
    <row r="234" spans="2:30">
      <c r="B234" s="145">
        <v>77</v>
      </c>
      <c r="C234" s="159">
        <f t="shared" si="64"/>
        <v>32821</v>
      </c>
      <c r="D234" s="160">
        <f t="shared" si="65"/>
        <v>3252</v>
      </c>
      <c r="E234" s="159">
        <f t="shared" si="66"/>
        <v>32821</v>
      </c>
      <c r="F234" s="161">
        <f t="shared" si="67"/>
        <v>3252</v>
      </c>
      <c r="G234" s="128"/>
      <c r="H234" s="145">
        <v>77</v>
      </c>
      <c r="I234" s="159">
        <f t="shared" si="68"/>
        <v>32821</v>
      </c>
      <c r="J234" s="160">
        <f t="shared" si="69"/>
        <v>3098</v>
      </c>
      <c r="K234" s="159">
        <f t="shared" si="70"/>
        <v>33000</v>
      </c>
      <c r="L234" s="161">
        <f t="shared" si="71"/>
        <v>3645</v>
      </c>
      <c r="M234" s="127"/>
      <c r="N234" s="145">
        <v>77</v>
      </c>
      <c r="O234" s="159">
        <f t="shared" si="72"/>
        <v>32821</v>
      </c>
      <c r="P234" s="160">
        <f t="shared" si="73"/>
        <v>2867</v>
      </c>
      <c r="Q234" s="159">
        <f t="shared" si="74"/>
        <v>33317</v>
      </c>
      <c r="R234" s="161">
        <f t="shared" si="75"/>
        <v>4107</v>
      </c>
      <c r="S234" s="127"/>
      <c r="T234" s="127"/>
      <c r="U234" s="128"/>
      <c r="V234" s="127"/>
      <c r="W234" s="122"/>
      <c r="X234" s="122"/>
      <c r="Y234" s="122"/>
      <c r="Z234" s="122"/>
      <c r="AA234" s="56"/>
      <c r="AB234" s="56"/>
      <c r="AC234" s="56"/>
      <c r="AD234" s="56"/>
    </row>
    <row r="235" spans="2:30">
      <c r="B235" s="145">
        <v>78</v>
      </c>
      <c r="C235" s="159">
        <f t="shared" si="64"/>
        <v>33248</v>
      </c>
      <c r="D235" s="160">
        <f t="shared" si="65"/>
        <v>2928</v>
      </c>
      <c r="E235" s="159">
        <f t="shared" si="66"/>
        <v>33248</v>
      </c>
      <c r="F235" s="161">
        <f t="shared" si="67"/>
        <v>2928</v>
      </c>
      <c r="G235" s="128"/>
      <c r="H235" s="145">
        <v>78</v>
      </c>
      <c r="I235" s="159">
        <f t="shared" si="68"/>
        <v>33248</v>
      </c>
      <c r="J235" s="160">
        <f t="shared" si="69"/>
        <v>2772</v>
      </c>
      <c r="K235" s="159">
        <f t="shared" si="70"/>
        <v>33429</v>
      </c>
      <c r="L235" s="161">
        <f t="shared" si="71"/>
        <v>3330</v>
      </c>
      <c r="M235" s="127"/>
      <c r="N235" s="145">
        <v>78</v>
      </c>
      <c r="O235" s="159">
        <f t="shared" si="72"/>
        <v>33248</v>
      </c>
      <c r="P235" s="160">
        <f t="shared" si="73"/>
        <v>2538</v>
      </c>
      <c r="Q235" s="159">
        <f t="shared" si="74"/>
        <v>33750</v>
      </c>
      <c r="R235" s="161">
        <f t="shared" si="75"/>
        <v>3798</v>
      </c>
      <c r="S235" s="127"/>
      <c r="T235" s="127"/>
      <c r="U235" s="128"/>
      <c r="V235" s="127"/>
      <c r="W235" s="122"/>
      <c r="X235" s="122"/>
      <c r="Y235" s="122"/>
      <c r="Z235" s="122"/>
      <c r="AA235" s="56"/>
      <c r="AB235" s="56"/>
      <c r="AC235" s="56"/>
      <c r="AD235" s="56"/>
    </row>
    <row r="236" spans="2:30">
      <c r="B236" s="145">
        <v>79</v>
      </c>
      <c r="C236" s="159">
        <f t="shared" si="64"/>
        <v>33674</v>
      </c>
      <c r="D236" s="160">
        <f t="shared" si="65"/>
        <v>2604</v>
      </c>
      <c r="E236" s="159">
        <f t="shared" si="66"/>
        <v>33674</v>
      </c>
      <c r="F236" s="161">
        <f t="shared" si="67"/>
        <v>2604</v>
      </c>
      <c r="G236" s="128"/>
      <c r="H236" s="145">
        <v>79</v>
      </c>
      <c r="I236" s="159">
        <f t="shared" si="68"/>
        <v>33674</v>
      </c>
      <c r="J236" s="160">
        <f t="shared" si="69"/>
        <v>2446</v>
      </c>
      <c r="K236" s="159">
        <f t="shared" si="70"/>
        <v>33857</v>
      </c>
      <c r="L236" s="161">
        <f t="shared" si="71"/>
        <v>3015</v>
      </c>
      <c r="M236" s="127"/>
      <c r="N236" s="145">
        <v>79</v>
      </c>
      <c r="O236" s="159">
        <f t="shared" si="72"/>
        <v>33674</v>
      </c>
      <c r="P236" s="160">
        <f t="shared" si="73"/>
        <v>2209</v>
      </c>
      <c r="Q236" s="159">
        <f t="shared" si="74"/>
        <v>34183</v>
      </c>
      <c r="R236" s="161">
        <f t="shared" si="75"/>
        <v>3489</v>
      </c>
      <c r="S236" s="127"/>
      <c r="T236" s="127"/>
      <c r="U236" s="128"/>
      <c r="V236" s="127"/>
      <c r="W236" s="122"/>
      <c r="X236" s="122"/>
      <c r="Y236" s="122"/>
      <c r="Z236" s="122"/>
      <c r="AA236" s="56"/>
      <c r="AB236" s="56"/>
      <c r="AC236" s="56"/>
      <c r="AD236" s="56"/>
    </row>
    <row r="237" spans="2:30">
      <c r="B237" s="146">
        <v>80</v>
      </c>
      <c r="C237" s="162">
        <f t="shared" si="64"/>
        <v>34100</v>
      </c>
      <c r="D237" s="163">
        <f t="shared" si="65"/>
        <v>2280</v>
      </c>
      <c r="E237" s="162">
        <f t="shared" si="66"/>
        <v>34100</v>
      </c>
      <c r="F237" s="164">
        <f t="shared" si="67"/>
        <v>2280</v>
      </c>
      <c r="G237" s="128"/>
      <c r="H237" s="146">
        <v>80</v>
      </c>
      <c r="I237" s="162">
        <f t="shared" si="68"/>
        <v>34100</v>
      </c>
      <c r="J237" s="163">
        <f t="shared" si="69"/>
        <v>2120</v>
      </c>
      <c r="K237" s="162">
        <f t="shared" si="70"/>
        <v>34286</v>
      </c>
      <c r="L237" s="164">
        <f t="shared" si="71"/>
        <v>2700</v>
      </c>
      <c r="M237" s="127"/>
      <c r="N237" s="146">
        <v>80</v>
      </c>
      <c r="O237" s="162">
        <f t="shared" si="72"/>
        <v>34100</v>
      </c>
      <c r="P237" s="163">
        <f t="shared" si="73"/>
        <v>1880</v>
      </c>
      <c r="Q237" s="162">
        <f t="shared" si="74"/>
        <v>34615</v>
      </c>
      <c r="R237" s="164">
        <f t="shared" si="75"/>
        <v>3180</v>
      </c>
      <c r="S237" s="127"/>
      <c r="T237" s="127"/>
      <c r="U237" s="128"/>
      <c r="V237" s="127"/>
      <c r="W237" s="122"/>
      <c r="X237" s="122"/>
      <c r="Y237" s="122"/>
      <c r="Z237" s="122"/>
      <c r="AA237" s="56"/>
      <c r="AB237" s="56"/>
      <c r="AC237" s="56"/>
      <c r="AD237" s="56"/>
    </row>
    <row r="238" spans="2:30">
      <c r="B238" s="145">
        <v>81</v>
      </c>
      <c r="C238" s="159">
        <f t="shared" si="64"/>
        <v>34526</v>
      </c>
      <c r="D238" s="160">
        <f t="shared" si="65"/>
        <v>1956</v>
      </c>
      <c r="E238" s="159">
        <f t="shared" si="66"/>
        <v>34526</v>
      </c>
      <c r="F238" s="161">
        <f t="shared" si="67"/>
        <v>1956</v>
      </c>
      <c r="G238" s="128"/>
      <c r="H238" s="145">
        <v>81</v>
      </c>
      <c r="I238" s="159">
        <f t="shared" si="68"/>
        <v>34526</v>
      </c>
      <c r="J238" s="160">
        <f t="shared" si="69"/>
        <v>1794</v>
      </c>
      <c r="K238" s="159">
        <f t="shared" si="70"/>
        <v>34714</v>
      </c>
      <c r="L238" s="161">
        <f t="shared" si="71"/>
        <v>2385</v>
      </c>
      <c r="M238" s="127"/>
      <c r="N238" s="145">
        <v>81</v>
      </c>
      <c r="O238" s="159">
        <f t="shared" si="72"/>
        <v>34526</v>
      </c>
      <c r="P238" s="160">
        <f t="shared" si="73"/>
        <v>1551</v>
      </c>
      <c r="Q238" s="159">
        <f t="shared" si="74"/>
        <v>35048</v>
      </c>
      <c r="R238" s="161">
        <f t="shared" si="75"/>
        <v>2871</v>
      </c>
      <c r="S238" s="127"/>
      <c r="T238" s="127"/>
      <c r="U238" s="128"/>
      <c r="V238" s="127"/>
      <c r="W238" s="122"/>
      <c r="X238" s="122"/>
      <c r="Y238" s="122"/>
      <c r="Z238" s="122"/>
      <c r="AA238" s="56"/>
      <c r="AB238" s="56"/>
      <c r="AC238" s="56"/>
      <c r="AD238" s="56"/>
    </row>
    <row r="239" spans="2:30">
      <c r="B239" s="145">
        <v>82</v>
      </c>
      <c r="C239" s="159">
        <f t="shared" si="64"/>
        <v>34953</v>
      </c>
      <c r="D239" s="160">
        <f t="shared" si="65"/>
        <v>1632</v>
      </c>
      <c r="E239" s="159">
        <f t="shared" si="66"/>
        <v>34953</v>
      </c>
      <c r="F239" s="161">
        <f t="shared" si="67"/>
        <v>1632</v>
      </c>
      <c r="G239" s="128"/>
      <c r="H239" s="145">
        <v>82</v>
      </c>
      <c r="I239" s="159">
        <f t="shared" si="68"/>
        <v>34953</v>
      </c>
      <c r="J239" s="160">
        <f t="shared" si="69"/>
        <v>1468</v>
      </c>
      <c r="K239" s="159">
        <f t="shared" si="70"/>
        <v>35143</v>
      </c>
      <c r="L239" s="161">
        <f t="shared" si="71"/>
        <v>2070</v>
      </c>
      <c r="M239" s="127"/>
      <c r="N239" s="145">
        <v>82</v>
      </c>
      <c r="O239" s="159">
        <f t="shared" si="72"/>
        <v>34953</v>
      </c>
      <c r="P239" s="160">
        <f t="shared" si="73"/>
        <v>1222</v>
      </c>
      <c r="Q239" s="159">
        <f t="shared" si="74"/>
        <v>35481</v>
      </c>
      <c r="R239" s="161">
        <f t="shared" si="75"/>
        <v>2562</v>
      </c>
      <c r="S239" s="127"/>
      <c r="T239" s="127"/>
      <c r="U239" s="128"/>
      <c r="V239" s="127"/>
      <c r="W239" s="122"/>
      <c r="X239" s="122"/>
      <c r="Y239" s="122"/>
      <c r="Z239" s="122"/>
      <c r="AA239" s="56"/>
      <c r="AB239" s="56"/>
      <c r="AC239" s="56"/>
      <c r="AD239" s="56"/>
    </row>
    <row r="240" spans="2:30">
      <c r="B240" s="145">
        <v>83</v>
      </c>
      <c r="C240" s="159">
        <f t="shared" si="64"/>
        <v>35379</v>
      </c>
      <c r="D240" s="160">
        <f t="shared" si="65"/>
        <v>1308</v>
      </c>
      <c r="E240" s="159">
        <f t="shared" si="66"/>
        <v>35379</v>
      </c>
      <c r="F240" s="161">
        <f t="shared" si="67"/>
        <v>1308</v>
      </c>
      <c r="G240" s="128"/>
      <c r="H240" s="145">
        <v>83</v>
      </c>
      <c r="I240" s="159">
        <f t="shared" si="68"/>
        <v>35379</v>
      </c>
      <c r="J240" s="160">
        <f t="shared" si="69"/>
        <v>1142</v>
      </c>
      <c r="K240" s="159">
        <f t="shared" si="70"/>
        <v>35571</v>
      </c>
      <c r="L240" s="161">
        <f t="shared" si="71"/>
        <v>1755</v>
      </c>
      <c r="M240" s="127"/>
      <c r="N240" s="145">
        <v>83</v>
      </c>
      <c r="O240" s="159">
        <f t="shared" si="72"/>
        <v>35379</v>
      </c>
      <c r="P240" s="160">
        <f t="shared" si="73"/>
        <v>893</v>
      </c>
      <c r="Q240" s="159">
        <f t="shared" si="74"/>
        <v>35913</v>
      </c>
      <c r="R240" s="161">
        <f t="shared" si="75"/>
        <v>2253</v>
      </c>
      <c r="S240" s="127"/>
      <c r="T240" s="127"/>
      <c r="U240" s="128"/>
      <c r="V240" s="127"/>
      <c r="W240" s="122"/>
      <c r="X240" s="122"/>
      <c r="Y240" s="122"/>
      <c r="Z240" s="122"/>
      <c r="AA240" s="56"/>
      <c r="AB240" s="56"/>
      <c r="AC240" s="56"/>
      <c r="AD240" s="56"/>
    </row>
    <row r="241" spans="2:30">
      <c r="B241" s="145">
        <v>84</v>
      </c>
      <c r="C241" s="159">
        <f t="shared" si="64"/>
        <v>35805</v>
      </c>
      <c r="D241" s="160">
        <f t="shared" si="65"/>
        <v>984</v>
      </c>
      <c r="E241" s="159">
        <f t="shared" si="66"/>
        <v>35805</v>
      </c>
      <c r="F241" s="161">
        <f t="shared" si="67"/>
        <v>984</v>
      </c>
      <c r="G241" s="128"/>
      <c r="H241" s="145">
        <v>84</v>
      </c>
      <c r="I241" s="159">
        <f t="shared" si="68"/>
        <v>35805</v>
      </c>
      <c r="J241" s="160">
        <f t="shared" si="69"/>
        <v>816</v>
      </c>
      <c r="K241" s="159">
        <f t="shared" si="70"/>
        <v>36000</v>
      </c>
      <c r="L241" s="161">
        <f t="shared" si="71"/>
        <v>1440</v>
      </c>
      <c r="M241" s="127"/>
      <c r="N241" s="145">
        <v>84</v>
      </c>
      <c r="O241" s="159">
        <f t="shared" si="72"/>
        <v>35805</v>
      </c>
      <c r="P241" s="160">
        <f t="shared" si="73"/>
        <v>564</v>
      </c>
      <c r="Q241" s="159">
        <f t="shared" si="74"/>
        <v>36346</v>
      </c>
      <c r="R241" s="161">
        <f t="shared" si="75"/>
        <v>1944</v>
      </c>
      <c r="S241" s="127"/>
      <c r="T241" s="127"/>
      <c r="U241" s="128"/>
      <c r="V241" s="127"/>
      <c r="W241" s="122"/>
      <c r="X241" s="122"/>
      <c r="Y241" s="122"/>
      <c r="Z241" s="122"/>
      <c r="AA241" s="56"/>
      <c r="AB241" s="56"/>
      <c r="AC241" s="56"/>
      <c r="AD241" s="56"/>
    </row>
    <row r="242" spans="2:30">
      <c r="B242" s="145">
        <v>85</v>
      </c>
      <c r="C242" s="159">
        <f t="shared" si="64"/>
        <v>36231</v>
      </c>
      <c r="D242" s="160">
        <f t="shared" si="65"/>
        <v>660</v>
      </c>
      <c r="E242" s="159">
        <f t="shared" si="66"/>
        <v>36231</v>
      </c>
      <c r="F242" s="161">
        <f t="shared" si="67"/>
        <v>660</v>
      </c>
      <c r="G242" s="128"/>
      <c r="H242" s="145">
        <v>85</v>
      </c>
      <c r="I242" s="159">
        <f t="shared" si="68"/>
        <v>36231</v>
      </c>
      <c r="J242" s="160">
        <f t="shared" si="69"/>
        <v>490</v>
      </c>
      <c r="K242" s="159">
        <f t="shared" si="70"/>
        <v>36429</v>
      </c>
      <c r="L242" s="161">
        <f t="shared" si="71"/>
        <v>1125</v>
      </c>
      <c r="M242" s="127"/>
      <c r="N242" s="145">
        <v>85</v>
      </c>
      <c r="O242" s="159">
        <f t="shared" si="72"/>
        <v>36231</v>
      </c>
      <c r="P242" s="160">
        <f t="shared" si="73"/>
        <v>235</v>
      </c>
      <c r="Q242" s="159">
        <f t="shared" si="74"/>
        <v>36779</v>
      </c>
      <c r="R242" s="161">
        <f t="shared" si="75"/>
        <v>1635</v>
      </c>
      <c r="S242" s="127"/>
      <c r="T242" s="127"/>
      <c r="U242" s="128"/>
      <c r="V242" s="127"/>
      <c r="W242" s="122"/>
      <c r="X242" s="122"/>
      <c r="Y242" s="122"/>
      <c r="Z242" s="122"/>
      <c r="AA242" s="56"/>
      <c r="AB242" s="56"/>
      <c r="AC242" s="56"/>
      <c r="AD242" s="56"/>
    </row>
    <row r="243" spans="2:30">
      <c r="B243" s="145">
        <v>86</v>
      </c>
      <c r="C243" s="159">
        <f t="shared" si="64"/>
        <v>36658</v>
      </c>
      <c r="D243" s="160">
        <f t="shared" si="65"/>
        <v>336</v>
      </c>
      <c r="E243" s="159">
        <f t="shared" si="66"/>
        <v>36658</v>
      </c>
      <c r="F243" s="161">
        <f t="shared" si="67"/>
        <v>336</v>
      </c>
      <c r="G243" s="128"/>
      <c r="H243" s="145">
        <v>86</v>
      </c>
      <c r="I243" s="159">
        <f t="shared" si="68"/>
        <v>36658</v>
      </c>
      <c r="J243" s="160">
        <f t="shared" si="69"/>
        <v>164</v>
      </c>
      <c r="K243" s="159">
        <f t="shared" si="70"/>
        <v>36857</v>
      </c>
      <c r="L243" s="161">
        <f t="shared" si="71"/>
        <v>810</v>
      </c>
      <c r="M243" s="127"/>
      <c r="N243" s="293">
        <v>86</v>
      </c>
      <c r="O243" s="181">
        <f t="shared" si="72"/>
        <v>36658</v>
      </c>
      <c r="P243" s="182">
        <f t="shared" si="73"/>
        <v>-94</v>
      </c>
      <c r="Q243" s="181">
        <f t="shared" si="74"/>
        <v>37212</v>
      </c>
      <c r="R243" s="184">
        <f t="shared" si="75"/>
        <v>1326</v>
      </c>
      <c r="S243" s="127"/>
      <c r="T243" s="127"/>
      <c r="U243" s="128"/>
      <c r="V243" s="127"/>
      <c r="W243" s="122"/>
      <c r="X243" s="122"/>
      <c r="Y243" s="122"/>
      <c r="Z243" s="122"/>
      <c r="AA243" s="56"/>
      <c r="AB243" s="56"/>
      <c r="AC243" s="56"/>
      <c r="AD243" s="56"/>
    </row>
    <row r="244" spans="2:30">
      <c r="B244" s="145">
        <v>87</v>
      </c>
      <c r="C244" s="159">
        <f t="shared" si="64"/>
        <v>37084</v>
      </c>
      <c r="D244" s="160">
        <f t="shared" si="65"/>
        <v>12</v>
      </c>
      <c r="E244" s="159">
        <f t="shared" si="66"/>
        <v>37084</v>
      </c>
      <c r="F244" s="161">
        <f t="shared" si="67"/>
        <v>12</v>
      </c>
      <c r="G244" s="128"/>
      <c r="H244" s="293">
        <v>87</v>
      </c>
      <c r="I244" s="181">
        <f t="shared" si="68"/>
        <v>37084</v>
      </c>
      <c r="J244" s="182">
        <f t="shared" si="69"/>
        <v>-162</v>
      </c>
      <c r="K244" s="181">
        <f t="shared" si="70"/>
        <v>37286</v>
      </c>
      <c r="L244" s="184">
        <f t="shared" si="71"/>
        <v>495</v>
      </c>
      <c r="M244" s="127"/>
      <c r="N244" s="145">
        <v>87</v>
      </c>
      <c r="O244" s="159">
        <f t="shared" si="72"/>
        <v>37084</v>
      </c>
      <c r="P244" s="160">
        <f t="shared" si="73"/>
        <v>-423</v>
      </c>
      <c r="Q244" s="159">
        <f t="shared" si="74"/>
        <v>37644</v>
      </c>
      <c r="R244" s="161">
        <f t="shared" si="75"/>
        <v>1017</v>
      </c>
      <c r="S244" s="127"/>
      <c r="T244" s="127"/>
      <c r="U244" s="128"/>
      <c r="V244" s="127"/>
      <c r="W244" s="122"/>
      <c r="X244" s="122"/>
      <c r="Y244" s="122"/>
      <c r="Z244" s="122"/>
      <c r="AA244" s="56"/>
      <c r="AB244" s="56"/>
      <c r="AC244" s="56"/>
      <c r="AD244" s="56"/>
    </row>
    <row r="245" spans="2:30">
      <c r="B245" s="293">
        <v>88</v>
      </c>
      <c r="C245" s="181">
        <f t="shared" si="64"/>
        <v>37510</v>
      </c>
      <c r="D245" s="182">
        <f t="shared" si="65"/>
        <v>-312</v>
      </c>
      <c r="E245" s="181">
        <f t="shared" si="66"/>
        <v>37510</v>
      </c>
      <c r="F245" s="184">
        <f t="shared" si="67"/>
        <v>-312</v>
      </c>
      <c r="G245" s="128"/>
      <c r="H245" s="145">
        <v>88</v>
      </c>
      <c r="I245" s="159">
        <f t="shared" si="68"/>
        <v>37510</v>
      </c>
      <c r="J245" s="160">
        <f t="shared" si="69"/>
        <v>-488</v>
      </c>
      <c r="K245" s="159">
        <f t="shared" si="70"/>
        <v>37714</v>
      </c>
      <c r="L245" s="161">
        <f t="shared" si="71"/>
        <v>180</v>
      </c>
      <c r="M245" s="127"/>
      <c r="N245" s="145">
        <v>88</v>
      </c>
      <c r="O245" s="159">
        <f t="shared" si="72"/>
        <v>37510</v>
      </c>
      <c r="P245" s="160">
        <f t="shared" si="73"/>
        <v>-752</v>
      </c>
      <c r="Q245" s="159">
        <f t="shared" si="74"/>
        <v>38077</v>
      </c>
      <c r="R245" s="161">
        <f t="shared" si="75"/>
        <v>708</v>
      </c>
      <c r="S245" s="127"/>
      <c r="T245" s="127"/>
      <c r="U245" s="128"/>
      <c r="V245" s="127"/>
      <c r="W245" s="122"/>
      <c r="X245" s="122"/>
      <c r="Y245" s="122"/>
      <c r="Z245" s="122"/>
      <c r="AA245" s="56"/>
      <c r="AB245" s="56"/>
      <c r="AC245" s="56"/>
      <c r="AD245" s="56"/>
    </row>
    <row r="246" spans="2:30" ht="17.25" thickBot="1">
      <c r="B246" s="147">
        <v>89</v>
      </c>
      <c r="C246" s="165">
        <f t="shared" si="64"/>
        <v>37936</v>
      </c>
      <c r="D246" s="166">
        <f t="shared" si="65"/>
        <v>-636</v>
      </c>
      <c r="E246" s="165">
        <f t="shared" si="66"/>
        <v>37936</v>
      </c>
      <c r="F246" s="167">
        <f t="shared" si="67"/>
        <v>-636</v>
      </c>
      <c r="G246" s="128"/>
      <c r="H246" s="148">
        <v>89</v>
      </c>
      <c r="I246" s="197">
        <f t="shared" si="68"/>
        <v>37936</v>
      </c>
      <c r="J246" s="198">
        <f t="shared" si="69"/>
        <v>-814</v>
      </c>
      <c r="K246" s="197">
        <f t="shared" si="70"/>
        <v>38143</v>
      </c>
      <c r="L246" s="199">
        <f t="shared" si="71"/>
        <v>-135</v>
      </c>
      <c r="M246" s="127"/>
      <c r="N246" s="147">
        <v>89</v>
      </c>
      <c r="O246" s="165">
        <f t="shared" si="72"/>
        <v>37936</v>
      </c>
      <c r="P246" s="166">
        <f t="shared" si="73"/>
        <v>-1081</v>
      </c>
      <c r="Q246" s="165">
        <f t="shared" si="74"/>
        <v>38510</v>
      </c>
      <c r="R246" s="167">
        <f t="shared" si="75"/>
        <v>399</v>
      </c>
      <c r="S246" s="127"/>
      <c r="T246" s="127"/>
      <c r="U246" s="128"/>
      <c r="V246" s="127"/>
      <c r="W246" s="122"/>
      <c r="X246" s="122"/>
      <c r="Y246" s="122"/>
      <c r="Z246" s="122"/>
      <c r="AA246" s="56"/>
      <c r="AB246" s="56"/>
      <c r="AC246" s="56"/>
      <c r="AD246" s="56"/>
    </row>
    <row r="247" spans="2:30" ht="17.25" thickBot="1">
      <c r="B247" s="149">
        <v>90</v>
      </c>
      <c r="C247" s="168">
        <f t="shared" si="64"/>
        <v>38363</v>
      </c>
      <c r="D247" s="169">
        <f t="shared" si="65"/>
        <v>-960</v>
      </c>
      <c r="E247" s="168">
        <f t="shared" si="66"/>
        <v>38363</v>
      </c>
      <c r="F247" s="170">
        <f t="shared" si="67"/>
        <v>-960</v>
      </c>
      <c r="G247" s="128"/>
      <c r="H247" s="294">
        <v>90</v>
      </c>
      <c r="I247" s="295">
        <f t="shared" si="68"/>
        <v>38363</v>
      </c>
      <c r="J247" s="296">
        <f t="shared" si="69"/>
        <v>-1140</v>
      </c>
      <c r="K247" s="295">
        <f t="shared" si="70"/>
        <v>38571</v>
      </c>
      <c r="L247" s="297">
        <f t="shared" si="71"/>
        <v>-450</v>
      </c>
      <c r="M247" s="127"/>
      <c r="N247" s="149">
        <v>90</v>
      </c>
      <c r="O247" s="168">
        <f t="shared" si="72"/>
        <v>38363</v>
      </c>
      <c r="P247" s="169">
        <f t="shared" si="73"/>
        <v>-1410</v>
      </c>
      <c r="Q247" s="168">
        <f t="shared" si="74"/>
        <v>38942</v>
      </c>
      <c r="R247" s="170">
        <f t="shared" si="75"/>
        <v>90</v>
      </c>
      <c r="S247" s="127"/>
      <c r="T247" s="127"/>
      <c r="U247" s="128"/>
      <c r="V247" s="127"/>
      <c r="W247" s="122"/>
      <c r="X247" s="122"/>
      <c r="Y247" s="122"/>
      <c r="Z247" s="122"/>
      <c r="AA247" s="56"/>
      <c r="AB247" s="56"/>
      <c r="AC247" s="56"/>
      <c r="AD247" s="56"/>
    </row>
    <row r="248" spans="2:30">
      <c r="B248" s="150">
        <v>91</v>
      </c>
      <c r="C248" s="171">
        <f t="shared" si="64"/>
        <v>38789</v>
      </c>
      <c r="D248" s="172">
        <f t="shared" si="65"/>
        <v>-1284</v>
      </c>
      <c r="E248" s="171">
        <f t="shared" si="66"/>
        <v>38789</v>
      </c>
      <c r="F248" s="173">
        <f t="shared" si="67"/>
        <v>-1284</v>
      </c>
      <c r="G248" s="128"/>
      <c r="H248" s="150">
        <v>91</v>
      </c>
      <c r="I248" s="171">
        <f t="shared" si="68"/>
        <v>38789</v>
      </c>
      <c r="J248" s="172">
        <f t="shared" si="69"/>
        <v>-1466</v>
      </c>
      <c r="K248" s="171">
        <f t="shared" si="70"/>
        <v>39000</v>
      </c>
      <c r="L248" s="173">
        <f t="shared" si="71"/>
        <v>-765</v>
      </c>
      <c r="M248" s="127"/>
      <c r="N248" s="151">
        <v>91</v>
      </c>
      <c r="O248" s="200">
        <f t="shared" si="72"/>
        <v>38789</v>
      </c>
      <c r="P248" s="201">
        <f t="shared" si="73"/>
        <v>-1739</v>
      </c>
      <c r="Q248" s="200">
        <f t="shared" si="74"/>
        <v>39375</v>
      </c>
      <c r="R248" s="202">
        <f t="shared" si="75"/>
        <v>-219</v>
      </c>
      <c r="S248" s="127"/>
      <c r="T248" s="127"/>
      <c r="U248" s="128"/>
      <c r="V248" s="127"/>
      <c r="W248" s="122"/>
      <c r="X248" s="122"/>
      <c r="Y248" s="122"/>
      <c r="Z248" s="122"/>
      <c r="AA248" s="56"/>
      <c r="AB248" s="56"/>
      <c r="AC248" s="56"/>
      <c r="AD248" s="56"/>
    </row>
    <row r="249" spans="2:30">
      <c r="B249" s="145">
        <v>92</v>
      </c>
      <c r="C249" s="159">
        <f t="shared" si="64"/>
        <v>39215</v>
      </c>
      <c r="D249" s="160">
        <f t="shared" si="65"/>
        <v>-1608</v>
      </c>
      <c r="E249" s="159">
        <f t="shared" si="66"/>
        <v>39215</v>
      </c>
      <c r="F249" s="161">
        <f t="shared" si="67"/>
        <v>-1608</v>
      </c>
      <c r="G249" s="128"/>
      <c r="H249" s="145">
        <v>92</v>
      </c>
      <c r="I249" s="159">
        <f t="shared" si="68"/>
        <v>39215</v>
      </c>
      <c r="J249" s="160">
        <f t="shared" si="69"/>
        <v>-1792</v>
      </c>
      <c r="K249" s="159">
        <f t="shared" si="70"/>
        <v>39429</v>
      </c>
      <c r="L249" s="161">
        <f t="shared" si="71"/>
        <v>-1080</v>
      </c>
      <c r="M249" s="127"/>
      <c r="N249" s="145">
        <v>92</v>
      </c>
      <c r="O249" s="159">
        <f t="shared" si="72"/>
        <v>39215</v>
      </c>
      <c r="P249" s="160">
        <f t="shared" si="73"/>
        <v>-2068</v>
      </c>
      <c r="Q249" s="159">
        <f t="shared" si="74"/>
        <v>39808</v>
      </c>
      <c r="R249" s="161">
        <f t="shared" si="75"/>
        <v>-528</v>
      </c>
      <c r="S249" s="127"/>
      <c r="T249" s="127"/>
      <c r="U249" s="128"/>
      <c r="V249" s="127"/>
      <c r="W249" s="122"/>
      <c r="X249" s="122"/>
      <c r="Y249" s="122"/>
      <c r="Z249" s="122"/>
      <c r="AA249" s="56"/>
      <c r="AB249" s="56"/>
      <c r="AC249" s="56"/>
      <c r="AD249" s="56"/>
    </row>
    <row r="250" spans="2:30">
      <c r="B250" s="145">
        <v>93</v>
      </c>
      <c r="C250" s="159">
        <f t="shared" si="64"/>
        <v>39641</v>
      </c>
      <c r="D250" s="160">
        <f t="shared" si="65"/>
        <v>-1932</v>
      </c>
      <c r="E250" s="159">
        <f t="shared" si="66"/>
        <v>39641</v>
      </c>
      <c r="F250" s="161">
        <f t="shared" si="67"/>
        <v>-1932</v>
      </c>
      <c r="G250" s="128"/>
      <c r="H250" s="145">
        <v>93</v>
      </c>
      <c r="I250" s="159">
        <f t="shared" si="68"/>
        <v>39641</v>
      </c>
      <c r="J250" s="160">
        <f t="shared" si="69"/>
        <v>-2118</v>
      </c>
      <c r="K250" s="159">
        <f t="shared" si="70"/>
        <v>39857</v>
      </c>
      <c r="L250" s="161">
        <f t="shared" si="71"/>
        <v>-1395</v>
      </c>
      <c r="M250" s="127"/>
      <c r="N250" s="145">
        <v>93</v>
      </c>
      <c r="O250" s="159">
        <f t="shared" si="72"/>
        <v>39641</v>
      </c>
      <c r="P250" s="160">
        <f t="shared" si="73"/>
        <v>-2397</v>
      </c>
      <c r="Q250" s="159">
        <f t="shared" si="74"/>
        <v>40240</v>
      </c>
      <c r="R250" s="161">
        <f t="shared" si="75"/>
        <v>-837</v>
      </c>
      <c r="S250" s="127"/>
      <c r="T250" s="127"/>
      <c r="U250" s="128"/>
      <c r="V250" s="127"/>
      <c r="W250" s="122"/>
      <c r="X250" s="122"/>
      <c r="Y250" s="122"/>
      <c r="Z250" s="122"/>
      <c r="AA250" s="56"/>
      <c r="AB250" s="56"/>
      <c r="AC250" s="56"/>
      <c r="AD250" s="56"/>
    </row>
    <row r="251" spans="2:30">
      <c r="B251" s="145">
        <v>94</v>
      </c>
      <c r="C251" s="159">
        <f t="shared" si="64"/>
        <v>40068</v>
      </c>
      <c r="D251" s="160">
        <f t="shared" si="65"/>
        <v>-2256</v>
      </c>
      <c r="E251" s="159">
        <f t="shared" si="66"/>
        <v>40068</v>
      </c>
      <c r="F251" s="161">
        <f t="shared" si="67"/>
        <v>-2256</v>
      </c>
      <c r="G251" s="128"/>
      <c r="H251" s="145">
        <v>94</v>
      </c>
      <c r="I251" s="159">
        <f t="shared" si="68"/>
        <v>40068</v>
      </c>
      <c r="J251" s="160">
        <f t="shared" si="69"/>
        <v>-2444</v>
      </c>
      <c r="K251" s="159">
        <f t="shared" si="70"/>
        <v>40286</v>
      </c>
      <c r="L251" s="161">
        <f t="shared" si="71"/>
        <v>-1710</v>
      </c>
      <c r="M251" s="127"/>
      <c r="N251" s="145">
        <v>94</v>
      </c>
      <c r="O251" s="159">
        <f t="shared" si="72"/>
        <v>40068</v>
      </c>
      <c r="P251" s="160">
        <f t="shared" si="73"/>
        <v>-2726</v>
      </c>
      <c r="Q251" s="159">
        <f t="shared" si="74"/>
        <v>40673</v>
      </c>
      <c r="R251" s="161">
        <f t="shared" si="75"/>
        <v>-1146</v>
      </c>
      <c r="S251" s="127"/>
      <c r="T251" s="127"/>
      <c r="U251" s="128"/>
      <c r="V251" s="127"/>
      <c r="W251" s="122"/>
      <c r="X251" s="122"/>
      <c r="Y251" s="122"/>
      <c r="Z251" s="122"/>
      <c r="AA251" s="56"/>
      <c r="AB251" s="56"/>
      <c r="AC251" s="56"/>
      <c r="AD251" s="56"/>
    </row>
    <row r="252" spans="2:30">
      <c r="B252" s="145">
        <v>95</v>
      </c>
      <c r="C252" s="159">
        <f t="shared" si="64"/>
        <v>40494</v>
      </c>
      <c r="D252" s="160">
        <f t="shared" si="65"/>
        <v>-2580</v>
      </c>
      <c r="E252" s="159">
        <f t="shared" si="66"/>
        <v>40494</v>
      </c>
      <c r="F252" s="161">
        <f t="shared" si="67"/>
        <v>-2580</v>
      </c>
      <c r="G252" s="128"/>
      <c r="H252" s="145">
        <v>95</v>
      </c>
      <c r="I252" s="159">
        <f t="shared" si="68"/>
        <v>40494</v>
      </c>
      <c r="J252" s="160">
        <f t="shared" si="69"/>
        <v>-2770</v>
      </c>
      <c r="K252" s="159">
        <f t="shared" si="70"/>
        <v>40714</v>
      </c>
      <c r="L252" s="161">
        <f t="shared" si="71"/>
        <v>-2025</v>
      </c>
      <c r="M252" s="127"/>
      <c r="N252" s="145">
        <v>95</v>
      </c>
      <c r="O252" s="159">
        <f t="shared" si="72"/>
        <v>40494</v>
      </c>
      <c r="P252" s="160">
        <f t="shared" si="73"/>
        <v>-3055</v>
      </c>
      <c r="Q252" s="159">
        <f t="shared" si="74"/>
        <v>41106</v>
      </c>
      <c r="R252" s="161">
        <f t="shared" si="75"/>
        <v>-1455</v>
      </c>
      <c r="S252" s="127"/>
      <c r="T252" s="127"/>
      <c r="U252" s="128"/>
      <c r="V252" s="127"/>
      <c r="W252" s="122"/>
      <c r="X252" s="122"/>
      <c r="Y252" s="122"/>
      <c r="Z252" s="122"/>
      <c r="AA252" s="56"/>
      <c r="AB252" s="56"/>
      <c r="AC252" s="56"/>
      <c r="AD252" s="56"/>
    </row>
    <row r="253" spans="2:30">
      <c r="B253" s="145">
        <v>96</v>
      </c>
      <c r="C253" s="159">
        <f t="shared" si="64"/>
        <v>40920</v>
      </c>
      <c r="D253" s="160">
        <f t="shared" si="65"/>
        <v>-2904</v>
      </c>
      <c r="E253" s="159">
        <f t="shared" si="66"/>
        <v>40920</v>
      </c>
      <c r="F253" s="161">
        <f t="shared" si="67"/>
        <v>-2904</v>
      </c>
      <c r="G253" s="128"/>
      <c r="H253" s="145">
        <v>96</v>
      </c>
      <c r="I253" s="159">
        <f t="shared" si="68"/>
        <v>40920</v>
      </c>
      <c r="J253" s="160">
        <f t="shared" si="69"/>
        <v>-3096</v>
      </c>
      <c r="K253" s="159">
        <f t="shared" si="70"/>
        <v>41143</v>
      </c>
      <c r="L253" s="161">
        <f t="shared" si="71"/>
        <v>-2340</v>
      </c>
      <c r="M253" s="127"/>
      <c r="N253" s="145">
        <v>96</v>
      </c>
      <c r="O253" s="159">
        <f t="shared" si="72"/>
        <v>40920</v>
      </c>
      <c r="P253" s="160">
        <f t="shared" si="73"/>
        <v>-3384</v>
      </c>
      <c r="Q253" s="159">
        <f t="shared" si="74"/>
        <v>41538</v>
      </c>
      <c r="R253" s="161">
        <f t="shared" si="75"/>
        <v>-1764</v>
      </c>
      <c r="S253" s="127"/>
      <c r="T253" s="127"/>
      <c r="U253" s="128"/>
      <c r="V253" s="127"/>
      <c r="W253" s="122"/>
      <c r="X253" s="122"/>
      <c r="Y253" s="122"/>
      <c r="Z253" s="122"/>
      <c r="AA253" s="56"/>
      <c r="AB253" s="56"/>
      <c r="AC253" s="56"/>
      <c r="AD253" s="56"/>
    </row>
    <row r="254" spans="2:30">
      <c r="B254" s="145">
        <v>97</v>
      </c>
      <c r="C254" s="159">
        <f t="shared" si="64"/>
        <v>41346</v>
      </c>
      <c r="D254" s="160">
        <f t="shared" si="65"/>
        <v>-3228</v>
      </c>
      <c r="E254" s="159">
        <f t="shared" si="66"/>
        <v>41346</v>
      </c>
      <c r="F254" s="161">
        <f t="shared" si="67"/>
        <v>-3228</v>
      </c>
      <c r="G254" s="128"/>
      <c r="H254" s="145">
        <v>97</v>
      </c>
      <c r="I254" s="159">
        <f t="shared" si="68"/>
        <v>41346</v>
      </c>
      <c r="J254" s="160">
        <f t="shared" si="69"/>
        <v>-3422</v>
      </c>
      <c r="K254" s="159">
        <f t="shared" si="70"/>
        <v>41571</v>
      </c>
      <c r="L254" s="161">
        <f t="shared" si="71"/>
        <v>-2655</v>
      </c>
      <c r="M254" s="127"/>
      <c r="N254" s="145">
        <v>97</v>
      </c>
      <c r="O254" s="159">
        <f t="shared" si="72"/>
        <v>41346</v>
      </c>
      <c r="P254" s="160">
        <f t="shared" si="73"/>
        <v>-3713</v>
      </c>
      <c r="Q254" s="159">
        <f t="shared" si="74"/>
        <v>41971</v>
      </c>
      <c r="R254" s="161">
        <f t="shared" si="75"/>
        <v>-2073</v>
      </c>
      <c r="S254" s="127"/>
      <c r="T254" s="127"/>
      <c r="U254" s="128"/>
      <c r="V254" s="127"/>
      <c r="W254" s="122"/>
      <c r="X254" s="122"/>
      <c r="Y254" s="122"/>
      <c r="Z254" s="122"/>
      <c r="AA254" s="56"/>
      <c r="AB254" s="56"/>
      <c r="AC254" s="56"/>
      <c r="AD254" s="56"/>
    </row>
    <row r="255" spans="2:30">
      <c r="B255" s="145">
        <v>98</v>
      </c>
      <c r="C255" s="159">
        <f t="shared" si="64"/>
        <v>41773</v>
      </c>
      <c r="D255" s="160">
        <f t="shared" si="65"/>
        <v>-3552</v>
      </c>
      <c r="E255" s="159">
        <f t="shared" si="66"/>
        <v>41773</v>
      </c>
      <c r="F255" s="161">
        <f t="shared" si="67"/>
        <v>-3552</v>
      </c>
      <c r="G255" s="128"/>
      <c r="H255" s="145">
        <v>98</v>
      </c>
      <c r="I255" s="159">
        <f t="shared" si="68"/>
        <v>41773</v>
      </c>
      <c r="J255" s="160">
        <f t="shared" si="69"/>
        <v>-3748</v>
      </c>
      <c r="K255" s="159">
        <f t="shared" si="70"/>
        <v>42000</v>
      </c>
      <c r="L255" s="161">
        <f t="shared" si="71"/>
        <v>-2970</v>
      </c>
      <c r="M255" s="127"/>
      <c r="N255" s="145">
        <v>98</v>
      </c>
      <c r="O255" s="159">
        <f t="shared" si="72"/>
        <v>41773</v>
      </c>
      <c r="P255" s="160">
        <f t="shared" si="73"/>
        <v>-4042</v>
      </c>
      <c r="Q255" s="159">
        <f t="shared" si="74"/>
        <v>42404</v>
      </c>
      <c r="R255" s="161">
        <f t="shared" si="75"/>
        <v>-2382</v>
      </c>
      <c r="S255" s="127"/>
      <c r="T255" s="127"/>
      <c r="U255" s="128"/>
      <c r="V255" s="127"/>
      <c r="W255" s="122"/>
      <c r="X255" s="122"/>
      <c r="Y255" s="122"/>
      <c r="Z255" s="122"/>
      <c r="AA255" s="56"/>
      <c r="AB255" s="56"/>
      <c r="AC255" s="56"/>
      <c r="AD255" s="56"/>
    </row>
    <row r="256" spans="2:30">
      <c r="B256" s="145">
        <v>99</v>
      </c>
      <c r="C256" s="159">
        <f t="shared" si="64"/>
        <v>42199</v>
      </c>
      <c r="D256" s="160">
        <f t="shared" si="65"/>
        <v>-3876</v>
      </c>
      <c r="E256" s="159">
        <f t="shared" si="66"/>
        <v>42199</v>
      </c>
      <c r="F256" s="161">
        <f t="shared" si="67"/>
        <v>-3876</v>
      </c>
      <c r="G256" s="128"/>
      <c r="H256" s="147">
        <v>99</v>
      </c>
      <c r="I256" s="165">
        <f t="shared" si="68"/>
        <v>42199</v>
      </c>
      <c r="J256" s="166">
        <f t="shared" si="69"/>
        <v>-4074</v>
      </c>
      <c r="K256" s="159">
        <f t="shared" si="70"/>
        <v>42429</v>
      </c>
      <c r="L256" s="167">
        <f t="shared" si="71"/>
        <v>-3285</v>
      </c>
      <c r="M256" s="127"/>
      <c r="N256" s="145">
        <v>99</v>
      </c>
      <c r="O256" s="159">
        <f t="shared" si="72"/>
        <v>42199</v>
      </c>
      <c r="P256" s="160">
        <f t="shared" si="73"/>
        <v>-4371</v>
      </c>
      <c r="Q256" s="159">
        <f t="shared" si="74"/>
        <v>42837</v>
      </c>
      <c r="R256" s="161">
        <f t="shared" si="75"/>
        <v>-2691</v>
      </c>
      <c r="S256" s="127"/>
      <c r="T256" s="127"/>
      <c r="U256" s="128"/>
      <c r="V256" s="127"/>
      <c r="W256" s="122"/>
      <c r="X256" s="122"/>
      <c r="Y256" s="122"/>
      <c r="Z256" s="122"/>
      <c r="AA256" s="56"/>
      <c r="AB256" s="56"/>
      <c r="AC256" s="56"/>
      <c r="AD256" s="56"/>
    </row>
    <row r="257" spans="2:30" ht="17.25" thickBot="1">
      <c r="B257" s="138">
        <v>100</v>
      </c>
      <c r="C257" s="177">
        <f t="shared" si="64"/>
        <v>42625</v>
      </c>
      <c r="D257" s="178">
        <f t="shared" si="65"/>
        <v>-4200</v>
      </c>
      <c r="E257" s="177">
        <f t="shared" si="66"/>
        <v>42625</v>
      </c>
      <c r="F257" s="179">
        <f t="shared" si="67"/>
        <v>-4200</v>
      </c>
      <c r="G257" s="128"/>
      <c r="H257" s="152">
        <v>100</v>
      </c>
      <c r="I257" s="177">
        <f t="shared" si="68"/>
        <v>42625</v>
      </c>
      <c r="J257" s="178">
        <f t="shared" si="69"/>
        <v>-4400</v>
      </c>
      <c r="K257" s="177">
        <f t="shared" si="70"/>
        <v>42857</v>
      </c>
      <c r="L257" s="179">
        <f t="shared" si="71"/>
        <v>-3600</v>
      </c>
      <c r="M257" s="127"/>
      <c r="N257" s="152">
        <v>100</v>
      </c>
      <c r="O257" s="177">
        <f t="shared" si="72"/>
        <v>42625</v>
      </c>
      <c r="P257" s="178">
        <f t="shared" si="73"/>
        <v>-4700</v>
      </c>
      <c r="Q257" s="177">
        <f t="shared" si="74"/>
        <v>43269</v>
      </c>
      <c r="R257" s="179">
        <f t="shared" si="75"/>
        <v>-3000</v>
      </c>
      <c r="S257" s="127"/>
      <c r="T257" s="127"/>
      <c r="U257" s="128"/>
      <c r="V257" s="127"/>
      <c r="W257" s="122"/>
      <c r="X257" s="122"/>
      <c r="Y257" s="122"/>
      <c r="Z257" s="122"/>
      <c r="AA257" s="56"/>
      <c r="AB257" s="56"/>
      <c r="AC257" s="56"/>
      <c r="AD257" s="56"/>
    </row>
    <row r="258" spans="2:30" ht="17.25" thickBot="1">
      <c r="B258" s="315" t="s">
        <v>72</v>
      </c>
      <c r="C258" s="315"/>
      <c r="D258" s="315"/>
      <c r="E258" s="316" t="s">
        <v>160</v>
      </c>
      <c r="F258" s="316"/>
      <c r="G258" s="128"/>
      <c r="H258" s="315" t="s">
        <v>72</v>
      </c>
      <c r="I258" s="315"/>
      <c r="J258" s="315"/>
      <c r="K258" s="316" t="s">
        <v>161</v>
      </c>
      <c r="L258" s="316"/>
      <c r="M258" s="127"/>
      <c r="N258" s="315" t="s">
        <v>72</v>
      </c>
      <c r="O258" s="315"/>
      <c r="P258" s="315"/>
      <c r="Q258" s="316" t="s">
        <v>163</v>
      </c>
      <c r="R258" s="316"/>
      <c r="S258" s="127"/>
      <c r="T258" s="127"/>
      <c r="U258" s="128"/>
      <c r="V258" s="127"/>
      <c r="W258" s="122"/>
      <c r="X258" s="122"/>
      <c r="Y258" s="122"/>
      <c r="Z258" s="122"/>
      <c r="AA258" s="56"/>
      <c r="AB258" s="56"/>
      <c r="AC258" s="56"/>
      <c r="AD258" s="56"/>
    </row>
    <row r="259" spans="2:30" ht="17.25" thickBot="1">
      <c r="B259" s="315" t="s">
        <v>74</v>
      </c>
      <c r="C259" s="315"/>
      <c r="D259" s="315"/>
      <c r="E259" s="316" t="s">
        <v>75</v>
      </c>
      <c r="F259" s="316"/>
      <c r="G259" s="128"/>
      <c r="H259" s="315" t="s">
        <v>74</v>
      </c>
      <c r="I259" s="315"/>
      <c r="J259" s="315"/>
      <c r="K259" s="316" t="s">
        <v>162</v>
      </c>
      <c r="L259" s="316"/>
      <c r="M259" s="127"/>
      <c r="N259" s="315" t="s">
        <v>74</v>
      </c>
      <c r="O259" s="315"/>
      <c r="P259" s="315"/>
      <c r="Q259" s="316" t="s">
        <v>164</v>
      </c>
      <c r="R259" s="316"/>
      <c r="S259" s="127"/>
      <c r="T259" s="127"/>
      <c r="U259" s="128"/>
      <c r="V259" s="127"/>
      <c r="W259" s="122"/>
      <c r="X259" s="122"/>
      <c r="Y259" s="122"/>
      <c r="Z259" s="122"/>
      <c r="AA259" s="56"/>
      <c r="AB259" s="56"/>
      <c r="AC259" s="56"/>
      <c r="AD259" s="56"/>
    </row>
    <row r="260" spans="2:30">
      <c r="B260" s="153"/>
      <c r="C260" s="153"/>
      <c r="D260" s="153"/>
      <c r="E260" s="153"/>
      <c r="F260" s="153"/>
      <c r="G260" s="128"/>
      <c r="H260" s="153"/>
      <c r="I260" s="153"/>
      <c r="J260" s="153"/>
      <c r="K260" s="153"/>
      <c r="L260" s="153"/>
      <c r="M260" s="127"/>
      <c r="N260" s="153"/>
      <c r="O260" s="153"/>
      <c r="P260" s="153"/>
      <c r="Q260" s="153"/>
      <c r="R260" s="153"/>
      <c r="S260" s="127"/>
      <c r="T260" s="127"/>
      <c r="U260" s="128"/>
      <c r="V260" s="127"/>
      <c r="W260" s="122"/>
      <c r="X260" s="122"/>
      <c r="Y260" s="122"/>
      <c r="Z260" s="122"/>
      <c r="AA260" s="56"/>
      <c r="AB260" s="56"/>
      <c r="AC260" s="56"/>
      <c r="AD260" s="56"/>
    </row>
    <row r="261" spans="2:30" ht="17.25" thickBot="1">
      <c r="B261" s="153"/>
      <c r="C261" s="153"/>
      <c r="D261" s="153"/>
      <c r="E261" s="153"/>
      <c r="F261" s="153"/>
      <c r="G261" s="128"/>
      <c r="H261" s="153"/>
      <c r="I261" s="153"/>
      <c r="J261" s="153"/>
      <c r="K261" s="153"/>
      <c r="L261" s="153"/>
      <c r="M261" s="127"/>
      <c r="N261" s="153"/>
      <c r="O261" s="153"/>
      <c r="P261" s="153"/>
      <c r="Q261" s="153"/>
      <c r="R261" s="153"/>
      <c r="S261" s="127"/>
      <c r="T261" s="127"/>
      <c r="U261" s="128"/>
      <c r="V261" s="127"/>
      <c r="W261" s="122"/>
      <c r="X261" s="122"/>
      <c r="Y261" s="122"/>
      <c r="Z261" s="122"/>
      <c r="AA261" s="56"/>
      <c r="AB261" s="56"/>
      <c r="AC261" s="56"/>
      <c r="AD261" s="56"/>
    </row>
    <row r="262" spans="2:30" ht="17.25" thickBot="1">
      <c r="B262" s="117"/>
      <c r="C262" s="317" t="s">
        <v>69</v>
      </c>
      <c r="D262" s="318"/>
      <c r="E262" s="319" t="s">
        <v>69</v>
      </c>
      <c r="F262" s="318"/>
      <c r="G262" s="122"/>
      <c r="H262" s="117"/>
      <c r="I262" s="317" t="s">
        <v>69</v>
      </c>
      <c r="J262" s="318"/>
      <c r="K262" s="313" t="s">
        <v>71</v>
      </c>
      <c r="L262" s="314"/>
      <c r="M262" s="122"/>
      <c r="N262" s="117"/>
      <c r="O262" s="320" t="s">
        <v>71</v>
      </c>
      <c r="P262" s="314"/>
      <c r="Q262" s="313" t="s">
        <v>71</v>
      </c>
      <c r="R262" s="314"/>
      <c r="S262" s="122"/>
      <c r="T262" s="122"/>
      <c r="U262" s="122"/>
      <c r="V262" s="122"/>
      <c r="W262" s="122"/>
      <c r="X262" s="122"/>
      <c r="Y262" s="122"/>
      <c r="Z262" s="122"/>
      <c r="AA262" s="56"/>
      <c r="AB262" s="56"/>
      <c r="AC262" s="56"/>
      <c r="AD262" s="56"/>
    </row>
    <row r="263" spans="2:30" ht="17.25" thickBot="1">
      <c r="B263" s="119" t="s">
        <v>64</v>
      </c>
      <c r="C263" s="103" t="s">
        <v>65</v>
      </c>
      <c r="D263" s="120" t="s">
        <v>66</v>
      </c>
      <c r="E263" s="103" t="s">
        <v>65</v>
      </c>
      <c r="F263" s="121" t="s">
        <v>67</v>
      </c>
      <c r="G263" s="118"/>
      <c r="H263" s="119" t="s">
        <v>64</v>
      </c>
      <c r="I263" s="103" t="s">
        <v>65</v>
      </c>
      <c r="J263" s="120" t="s">
        <v>66</v>
      </c>
      <c r="K263" s="103" t="s">
        <v>65</v>
      </c>
      <c r="L263" s="121" t="s">
        <v>67</v>
      </c>
      <c r="M263" s="118"/>
      <c r="N263" s="119" t="s">
        <v>64</v>
      </c>
      <c r="O263" s="103" t="s">
        <v>65</v>
      </c>
      <c r="P263" s="120" t="s">
        <v>66</v>
      </c>
      <c r="Q263" s="103" t="s">
        <v>65</v>
      </c>
      <c r="R263" s="121" t="s">
        <v>67</v>
      </c>
      <c r="S263" s="118"/>
      <c r="T263" s="118"/>
      <c r="U263" s="118"/>
      <c r="V263" s="118"/>
      <c r="W263" s="122"/>
      <c r="X263" s="122"/>
      <c r="Y263" s="122"/>
      <c r="Z263" s="122"/>
      <c r="AA263" s="56"/>
      <c r="AB263" s="56"/>
      <c r="AC263" s="56"/>
      <c r="AD263" s="56"/>
    </row>
    <row r="264" spans="2:30">
      <c r="B264" s="144">
        <v>1</v>
      </c>
      <c r="C264" s="156">
        <f t="shared" ref="C264:C295" si="76">ROUND(B264*$E$23,0)</f>
        <v>429</v>
      </c>
      <c r="D264" s="157">
        <f>ROUND(G23-($E$264-($E$264*$D$29%)),0)</f>
        <v>27583</v>
      </c>
      <c r="E264" s="156">
        <f t="shared" ref="E264:E295" si="77">ROUND(B264*$E$23,0)</f>
        <v>429</v>
      </c>
      <c r="F264" s="158">
        <f>ROUND(G23-($C$264-($C$264*$D$29%)),0)</f>
        <v>27583</v>
      </c>
      <c r="G264" s="126"/>
      <c r="H264" s="144">
        <v>1</v>
      </c>
      <c r="I264" s="156">
        <f>ROUND(H264*$E$23,0)</f>
        <v>429</v>
      </c>
      <c r="J264" s="157">
        <f>ROUND(G23-($K$264-($K$264*$D$29%)),0)</f>
        <v>27580</v>
      </c>
      <c r="K264" s="156">
        <f>ROUND(H264*$E$24,0)</f>
        <v>433</v>
      </c>
      <c r="L264" s="158">
        <f>ROUND(G24-($I$264-($I$264*$E$29%)),0)</f>
        <v>27739</v>
      </c>
      <c r="M264" s="127"/>
      <c r="N264" s="144">
        <v>1</v>
      </c>
      <c r="O264" s="156">
        <f>ROUND(N264*$E$24,0)</f>
        <v>433</v>
      </c>
      <c r="P264" s="157">
        <f>ROUND(G24-($Q$264-($Q$264*$E$29%)),0)</f>
        <v>27736</v>
      </c>
      <c r="Q264" s="156">
        <f>ROUND(N264*$E$24,0)</f>
        <v>433</v>
      </c>
      <c r="R264" s="158">
        <f>ROUND(G24-($O$264-($O$264*$E$29%)),0)</f>
        <v>27736</v>
      </c>
      <c r="S264" s="127"/>
      <c r="T264" s="127"/>
      <c r="U264" s="126"/>
      <c r="V264" s="127"/>
      <c r="W264" s="122"/>
      <c r="X264" s="122"/>
      <c r="Y264" s="122"/>
      <c r="Z264" s="122"/>
      <c r="AA264" s="56"/>
      <c r="AB264" s="56"/>
      <c r="AC264" s="56"/>
      <c r="AD264" s="56"/>
    </row>
    <row r="265" spans="2:30">
      <c r="B265" s="145">
        <v>2</v>
      </c>
      <c r="C265" s="159">
        <f t="shared" si="76"/>
        <v>857</v>
      </c>
      <c r="D265" s="160">
        <f t="shared" ref="D265:D296" si="78">ROUND(D264-($E$264-($E$264*$D$29%)),0)</f>
        <v>27266</v>
      </c>
      <c r="E265" s="159">
        <f t="shared" si="77"/>
        <v>857</v>
      </c>
      <c r="F265" s="161">
        <f t="shared" ref="F265:F296" si="79">ROUND(F264-($C$264-($C$264*$D$29%)),0)</f>
        <v>27266</v>
      </c>
      <c r="G265" s="128"/>
      <c r="H265" s="145">
        <v>2</v>
      </c>
      <c r="I265" s="159">
        <f t="shared" ref="I265:I328" si="80">ROUND(H265*$E$23,0)</f>
        <v>857</v>
      </c>
      <c r="J265" s="160">
        <f t="shared" ref="J265:J296" si="81">ROUND(J264-($K$264-($K$264*$D$29%)),0)</f>
        <v>27260</v>
      </c>
      <c r="K265" s="159">
        <f t="shared" ref="K265:K328" si="82">ROUND(H265*$E$24,0)</f>
        <v>865</v>
      </c>
      <c r="L265" s="161">
        <f t="shared" ref="L265:L296" si="83">ROUND(L264-($I$264-($I$264*$E$29%)),0)</f>
        <v>27428</v>
      </c>
      <c r="M265" s="127"/>
      <c r="N265" s="145">
        <v>2</v>
      </c>
      <c r="O265" s="159">
        <f t="shared" ref="O265:O328" si="84">ROUND(N265*$E$24,0)</f>
        <v>865</v>
      </c>
      <c r="P265" s="160">
        <f t="shared" ref="P265:P296" si="85">ROUND(P264-($Q$264-($Q$264*$E$29%)),0)</f>
        <v>27422</v>
      </c>
      <c r="Q265" s="159">
        <f t="shared" ref="Q265:Q328" si="86">ROUND(N265*$E$24,0)</f>
        <v>865</v>
      </c>
      <c r="R265" s="161">
        <f t="shared" ref="R265:R296" si="87">ROUND(R264-($O$264-($O$264*$E$29%)),0)</f>
        <v>27422</v>
      </c>
      <c r="S265" s="127"/>
      <c r="T265" s="127"/>
      <c r="U265" s="128"/>
      <c r="V265" s="127"/>
      <c r="W265" s="122"/>
      <c r="X265" s="122"/>
      <c r="Y265" s="122"/>
      <c r="Z265" s="122"/>
      <c r="AA265" s="56"/>
      <c r="AB265" s="56"/>
      <c r="AC265" s="56"/>
      <c r="AD265" s="56"/>
    </row>
    <row r="266" spans="2:30">
      <c r="B266" s="145">
        <v>3</v>
      </c>
      <c r="C266" s="159">
        <f t="shared" si="76"/>
        <v>1286</v>
      </c>
      <c r="D266" s="160">
        <f t="shared" si="78"/>
        <v>26949</v>
      </c>
      <c r="E266" s="159">
        <f t="shared" si="77"/>
        <v>1286</v>
      </c>
      <c r="F266" s="161">
        <f t="shared" si="79"/>
        <v>26949</v>
      </c>
      <c r="G266" s="128"/>
      <c r="H266" s="145">
        <v>3</v>
      </c>
      <c r="I266" s="159">
        <f t="shared" si="80"/>
        <v>1286</v>
      </c>
      <c r="J266" s="160">
        <f t="shared" si="81"/>
        <v>26940</v>
      </c>
      <c r="K266" s="159">
        <f t="shared" si="82"/>
        <v>1298</v>
      </c>
      <c r="L266" s="161">
        <f t="shared" si="83"/>
        <v>27117</v>
      </c>
      <c r="M266" s="127"/>
      <c r="N266" s="145">
        <v>3</v>
      </c>
      <c r="O266" s="159">
        <f t="shared" si="84"/>
        <v>1298</v>
      </c>
      <c r="P266" s="160">
        <f t="shared" si="85"/>
        <v>27108</v>
      </c>
      <c r="Q266" s="159">
        <f t="shared" si="86"/>
        <v>1298</v>
      </c>
      <c r="R266" s="161">
        <f t="shared" si="87"/>
        <v>27108</v>
      </c>
      <c r="S266" s="127"/>
      <c r="T266" s="127"/>
      <c r="U266" s="128"/>
      <c r="V266" s="127"/>
      <c r="W266" s="122"/>
      <c r="X266" s="122"/>
      <c r="Y266" s="122"/>
      <c r="Z266" s="122"/>
      <c r="AA266" s="56"/>
      <c r="AB266" s="56"/>
      <c r="AC266" s="56"/>
      <c r="AD266" s="56"/>
    </row>
    <row r="267" spans="2:30">
      <c r="B267" s="145">
        <v>4</v>
      </c>
      <c r="C267" s="159">
        <f t="shared" si="76"/>
        <v>1714</v>
      </c>
      <c r="D267" s="160">
        <f t="shared" si="78"/>
        <v>26632</v>
      </c>
      <c r="E267" s="159">
        <f t="shared" si="77"/>
        <v>1714</v>
      </c>
      <c r="F267" s="161">
        <f t="shared" si="79"/>
        <v>26632</v>
      </c>
      <c r="G267" s="128"/>
      <c r="H267" s="145">
        <v>4</v>
      </c>
      <c r="I267" s="159">
        <f t="shared" si="80"/>
        <v>1714</v>
      </c>
      <c r="J267" s="160">
        <f t="shared" si="81"/>
        <v>26620</v>
      </c>
      <c r="K267" s="159">
        <f t="shared" si="82"/>
        <v>1731</v>
      </c>
      <c r="L267" s="161">
        <f t="shared" si="83"/>
        <v>26806</v>
      </c>
      <c r="M267" s="127"/>
      <c r="N267" s="145">
        <v>4</v>
      </c>
      <c r="O267" s="159">
        <f t="shared" si="84"/>
        <v>1731</v>
      </c>
      <c r="P267" s="160">
        <f t="shared" si="85"/>
        <v>26794</v>
      </c>
      <c r="Q267" s="159">
        <f t="shared" si="86"/>
        <v>1731</v>
      </c>
      <c r="R267" s="161">
        <f t="shared" si="87"/>
        <v>26794</v>
      </c>
      <c r="S267" s="127"/>
      <c r="T267" s="127"/>
      <c r="U267" s="128"/>
      <c r="V267" s="127"/>
      <c r="W267" s="122"/>
      <c r="X267" s="122"/>
      <c r="Y267" s="122"/>
      <c r="Z267" s="122"/>
      <c r="AA267" s="56"/>
      <c r="AB267" s="56"/>
      <c r="AC267" s="56"/>
      <c r="AD267" s="56"/>
    </row>
    <row r="268" spans="2:30">
      <c r="B268" s="145">
        <v>5</v>
      </c>
      <c r="C268" s="159">
        <f t="shared" si="76"/>
        <v>2143</v>
      </c>
      <c r="D268" s="160">
        <f t="shared" si="78"/>
        <v>26315</v>
      </c>
      <c r="E268" s="159">
        <f t="shared" si="77"/>
        <v>2143</v>
      </c>
      <c r="F268" s="161">
        <f t="shared" si="79"/>
        <v>26315</v>
      </c>
      <c r="G268" s="128"/>
      <c r="H268" s="145">
        <v>5</v>
      </c>
      <c r="I268" s="159">
        <f t="shared" si="80"/>
        <v>2143</v>
      </c>
      <c r="J268" s="160">
        <f t="shared" si="81"/>
        <v>26300</v>
      </c>
      <c r="K268" s="159">
        <f t="shared" si="82"/>
        <v>2163</v>
      </c>
      <c r="L268" s="161">
        <f t="shared" si="83"/>
        <v>26495</v>
      </c>
      <c r="M268" s="127"/>
      <c r="N268" s="145">
        <v>5</v>
      </c>
      <c r="O268" s="159">
        <f t="shared" si="84"/>
        <v>2163</v>
      </c>
      <c r="P268" s="160">
        <f t="shared" si="85"/>
        <v>26480</v>
      </c>
      <c r="Q268" s="159">
        <f t="shared" si="86"/>
        <v>2163</v>
      </c>
      <c r="R268" s="161">
        <f t="shared" si="87"/>
        <v>26480</v>
      </c>
      <c r="S268" s="127"/>
      <c r="T268" s="127"/>
      <c r="U268" s="128"/>
      <c r="V268" s="127"/>
      <c r="W268" s="122"/>
      <c r="X268" s="122"/>
      <c r="Y268" s="122"/>
      <c r="Z268" s="122"/>
      <c r="AA268" s="56"/>
      <c r="AB268" s="56"/>
      <c r="AC268" s="56"/>
      <c r="AD268" s="56"/>
    </row>
    <row r="269" spans="2:30">
      <c r="B269" s="145">
        <v>6</v>
      </c>
      <c r="C269" s="159">
        <f t="shared" si="76"/>
        <v>2571</v>
      </c>
      <c r="D269" s="160">
        <f t="shared" si="78"/>
        <v>25998</v>
      </c>
      <c r="E269" s="159">
        <f t="shared" si="77"/>
        <v>2571</v>
      </c>
      <c r="F269" s="161">
        <f t="shared" si="79"/>
        <v>25998</v>
      </c>
      <c r="G269" s="128"/>
      <c r="H269" s="145">
        <v>6</v>
      </c>
      <c r="I269" s="159">
        <f t="shared" si="80"/>
        <v>2571</v>
      </c>
      <c r="J269" s="160">
        <f t="shared" si="81"/>
        <v>25980</v>
      </c>
      <c r="K269" s="159">
        <f t="shared" si="82"/>
        <v>2596</v>
      </c>
      <c r="L269" s="161">
        <f t="shared" si="83"/>
        <v>26184</v>
      </c>
      <c r="M269" s="127"/>
      <c r="N269" s="145">
        <v>6</v>
      </c>
      <c r="O269" s="159">
        <f t="shared" si="84"/>
        <v>2596</v>
      </c>
      <c r="P269" s="160">
        <f t="shared" si="85"/>
        <v>26166</v>
      </c>
      <c r="Q269" s="159">
        <f t="shared" si="86"/>
        <v>2596</v>
      </c>
      <c r="R269" s="161">
        <f t="shared" si="87"/>
        <v>26166</v>
      </c>
      <c r="S269" s="127"/>
      <c r="T269" s="127"/>
      <c r="U269" s="128"/>
      <c r="V269" s="127"/>
      <c r="W269" s="122"/>
      <c r="X269" s="122"/>
      <c r="Y269" s="122"/>
      <c r="Z269" s="122"/>
      <c r="AA269" s="56"/>
      <c r="AB269" s="56"/>
      <c r="AC269" s="56"/>
      <c r="AD269" s="56"/>
    </row>
    <row r="270" spans="2:30">
      <c r="B270" s="145">
        <v>7</v>
      </c>
      <c r="C270" s="159">
        <f t="shared" si="76"/>
        <v>3000</v>
      </c>
      <c r="D270" s="160">
        <f t="shared" si="78"/>
        <v>25681</v>
      </c>
      <c r="E270" s="159">
        <f t="shared" si="77"/>
        <v>3000</v>
      </c>
      <c r="F270" s="161">
        <f t="shared" si="79"/>
        <v>25681</v>
      </c>
      <c r="G270" s="128"/>
      <c r="H270" s="145">
        <v>7</v>
      </c>
      <c r="I270" s="159">
        <f t="shared" si="80"/>
        <v>3000</v>
      </c>
      <c r="J270" s="160">
        <f t="shared" si="81"/>
        <v>25660</v>
      </c>
      <c r="K270" s="159">
        <f t="shared" si="82"/>
        <v>3029</v>
      </c>
      <c r="L270" s="161">
        <f t="shared" si="83"/>
        <v>25873</v>
      </c>
      <c r="M270" s="127"/>
      <c r="N270" s="145">
        <v>7</v>
      </c>
      <c r="O270" s="159">
        <f t="shared" si="84"/>
        <v>3029</v>
      </c>
      <c r="P270" s="160">
        <f t="shared" si="85"/>
        <v>25852</v>
      </c>
      <c r="Q270" s="159">
        <f t="shared" si="86"/>
        <v>3029</v>
      </c>
      <c r="R270" s="161">
        <f t="shared" si="87"/>
        <v>25852</v>
      </c>
      <c r="S270" s="127"/>
      <c r="T270" s="127"/>
      <c r="U270" s="128"/>
      <c r="V270" s="127"/>
      <c r="W270" s="122"/>
      <c r="X270" s="122"/>
      <c r="Y270" s="122"/>
      <c r="Z270" s="122"/>
      <c r="AA270" s="56"/>
      <c r="AB270" s="56"/>
      <c r="AC270" s="56"/>
      <c r="AD270" s="56"/>
    </row>
    <row r="271" spans="2:30">
      <c r="B271" s="145">
        <v>8</v>
      </c>
      <c r="C271" s="159">
        <f t="shared" si="76"/>
        <v>3429</v>
      </c>
      <c r="D271" s="160">
        <f t="shared" si="78"/>
        <v>25364</v>
      </c>
      <c r="E271" s="159">
        <f t="shared" si="77"/>
        <v>3429</v>
      </c>
      <c r="F271" s="161">
        <f t="shared" si="79"/>
        <v>25364</v>
      </c>
      <c r="G271" s="128"/>
      <c r="H271" s="145">
        <v>8</v>
      </c>
      <c r="I271" s="159">
        <f t="shared" si="80"/>
        <v>3429</v>
      </c>
      <c r="J271" s="160">
        <f t="shared" si="81"/>
        <v>25340</v>
      </c>
      <c r="K271" s="159">
        <f t="shared" si="82"/>
        <v>3462</v>
      </c>
      <c r="L271" s="161">
        <f t="shared" si="83"/>
        <v>25562</v>
      </c>
      <c r="M271" s="127"/>
      <c r="N271" s="145">
        <v>8</v>
      </c>
      <c r="O271" s="159">
        <f t="shared" si="84"/>
        <v>3462</v>
      </c>
      <c r="P271" s="160">
        <f t="shared" si="85"/>
        <v>25538</v>
      </c>
      <c r="Q271" s="159">
        <f t="shared" si="86"/>
        <v>3462</v>
      </c>
      <c r="R271" s="161">
        <f t="shared" si="87"/>
        <v>25538</v>
      </c>
      <c r="S271" s="127"/>
      <c r="T271" s="127"/>
      <c r="U271" s="128"/>
      <c r="V271" s="127"/>
      <c r="W271" s="122"/>
      <c r="X271" s="122"/>
      <c r="Y271" s="122"/>
      <c r="Z271" s="122"/>
      <c r="AA271" s="56"/>
      <c r="AB271" s="56"/>
      <c r="AC271" s="56"/>
      <c r="AD271" s="56"/>
    </row>
    <row r="272" spans="2:30">
      <c r="B272" s="145">
        <v>9</v>
      </c>
      <c r="C272" s="159">
        <f t="shared" si="76"/>
        <v>3857</v>
      </c>
      <c r="D272" s="160">
        <f t="shared" si="78"/>
        <v>25047</v>
      </c>
      <c r="E272" s="159">
        <f t="shared" si="77"/>
        <v>3857</v>
      </c>
      <c r="F272" s="161">
        <f t="shared" si="79"/>
        <v>25047</v>
      </c>
      <c r="G272" s="128"/>
      <c r="H272" s="145">
        <v>9</v>
      </c>
      <c r="I272" s="159">
        <f t="shared" si="80"/>
        <v>3857</v>
      </c>
      <c r="J272" s="160">
        <f t="shared" si="81"/>
        <v>25020</v>
      </c>
      <c r="K272" s="159">
        <f t="shared" si="82"/>
        <v>3894</v>
      </c>
      <c r="L272" s="161">
        <f t="shared" si="83"/>
        <v>25251</v>
      </c>
      <c r="M272" s="127"/>
      <c r="N272" s="145">
        <v>9</v>
      </c>
      <c r="O272" s="159">
        <f t="shared" si="84"/>
        <v>3894</v>
      </c>
      <c r="P272" s="160">
        <f t="shared" si="85"/>
        <v>25224</v>
      </c>
      <c r="Q272" s="159">
        <f t="shared" si="86"/>
        <v>3894</v>
      </c>
      <c r="R272" s="161">
        <f t="shared" si="87"/>
        <v>25224</v>
      </c>
      <c r="S272" s="127"/>
      <c r="T272" s="127"/>
      <c r="U272" s="128"/>
      <c r="V272" s="127"/>
      <c r="W272" s="122"/>
      <c r="X272" s="122"/>
      <c r="Y272" s="122"/>
      <c r="Z272" s="122"/>
      <c r="AA272" s="56"/>
      <c r="AB272" s="56"/>
      <c r="AC272" s="56"/>
      <c r="AD272" s="56"/>
    </row>
    <row r="273" spans="2:30">
      <c r="B273" s="146">
        <v>10</v>
      </c>
      <c r="C273" s="162">
        <f t="shared" si="76"/>
        <v>4286</v>
      </c>
      <c r="D273" s="163">
        <f t="shared" si="78"/>
        <v>24730</v>
      </c>
      <c r="E273" s="162">
        <f t="shared" si="77"/>
        <v>4286</v>
      </c>
      <c r="F273" s="164">
        <f t="shared" si="79"/>
        <v>24730</v>
      </c>
      <c r="G273" s="128"/>
      <c r="H273" s="146">
        <v>10</v>
      </c>
      <c r="I273" s="162">
        <f t="shared" si="80"/>
        <v>4286</v>
      </c>
      <c r="J273" s="163">
        <f t="shared" si="81"/>
        <v>24700</v>
      </c>
      <c r="K273" s="162">
        <f t="shared" si="82"/>
        <v>4327</v>
      </c>
      <c r="L273" s="164">
        <f t="shared" si="83"/>
        <v>24940</v>
      </c>
      <c r="M273" s="127"/>
      <c r="N273" s="146">
        <v>10</v>
      </c>
      <c r="O273" s="162">
        <f t="shared" si="84"/>
        <v>4327</v>
      </c>
      <c r="P273" s="163">
        <f t="shared" si="85"/>
        <v>24910</v>
      </c>
      <c r="Q273" s="162">
        <f t="shared" si="86"/>
        <v>4327</v>
      </c>
      <c r="R273" s="164">
        <f t="shared" si="87"/>
        <v>24910</v>
      </c>
      <c r="S273" s="127"/>
      <c r="T273" s="127"/>
      <c r="U273" s="128"/>
      <c r="V273" s="127"/>
      <c r="W273" s="122"/>
      <c r="X273" s="122"/>
      <c r="Y273" s="122"/>
      <c r="Z273" s="122"/>
      <c r="AA273" s="56"/>
      <c r="AB273" s="56"/>
      <c r="AC273" s="56"/>
      <c r="AD273" s="56"/>
    </row>
    <row r="274" spans="2:30">
      <c r="B274" s="145">
        <v>11</v>
      </c>
      <c r="C274" s="159">
        <f t="shared" si="76"/>
        <v>4714</v>
      </c>
      <c r="D274" s="160">
        <f t="shared" si="78"/>
        <v>24413</v>
      </c>
      <c r="E274" s="159">
        <f t="shared" si="77"/>
        <v>4714</v>
      </c>
      <c r="F274" s="161">
        <f t="shared" si="79"/>
        <v>24413</v>
      </c>
      <c r="G274" s="128"/>
      <c r="H274" s="145">
        <v>11</v>
      </c>
      <c r="I274" s="159">
        <f t="shared" si="80"/>
        <v>4714</v>
      </c>
      <c r="J274" s="160">
        <f t="shared" si="81"/>
        <v>24380</v>
      </c>
      <c r="K274" s="159">
        <f t="shared" si="82"/>
        <v>4760</v>
      </c>
      <c r="L274" s="161">
        <f t="shared" si="83"/>
        <v>24629</v>
      </c>
      <c r="M274" s="127"/>
      <c r="N274" s="145">
        <v>11</v>
      </c>
      <c r="O274" s="159">
        <f t="shared" si="84"/>
        <v>4760</v>
      </c>
      <c r="P274" s="160">
        <f t="shared" si="85"/>
        <v>24596</v>
      </c>
      <c r="Q274" s="159">
        <f t="shared" si="86"/>
        <v>4760</v>
      </c>
      <c r="R274" s="161">
        <f t="shared" si="87"/>
        <v>24596</v>
      </c>
      <c r="S274" s="127"/>
      <c r="T274" s="127"/>
      <c r="U274" s="128"/>
      <c r="V274" s="127"/>
      <c r="W274" s="122"/>
      <c r="X274" s="122"/>
      <c r="Y274" s="122"/>
      <c r="Z274" s="122"/>
      <c r="AA274" s="56"/>
      <c r="AB274" s="56"/>
      <c r="AC274" s="56"/>
      <c r="AD274" s="56"/>
    </row>
    <row r="275" spans="2:30">
      <c r="B275" s="145">
        <v>12</v>
      </c>
      <c r="C275" s="159">
        <f t="shared" si="76"/>
        <v>5143</v>
      </c>
      <c r="D275" s="160">
        <f t="shared" si="78"/>
        <v>24096</v>
      </c>
      <c r="E275" s="159">
        <f t="shared" si="77"/>
        <v>5143</v>
      </c>
      <c r="F275" s="161">
        <f t="shared" si="79"/>
        <v>24096</v>
      </c>
      <c r="G275" s="128"/>
      <c r="H275" s="145">
        <v>12</v>
      </c>
      <c r="I275" s="159">
        <f t="shared" si="80"/>
        <v>5143</v>
      </c>
      <c r="J275" s="160">
        <f t="shared" si="81"/>
        <v>24060</v>
      </c>
      <c r="K275" s="159">
        <f t="shared" si="82"/>
        <v>5192</v>
      </c>
      <c r="L275" s="161">
        <f t="shared" si="83"/>
        <v>24318</v>
      </c>
      <c r="M275" s="127"/>
      <c r="N275" s="145">
        <v>12</v>
      </c>
      <c r="O275" s="159">
        <f t="shared" si="84"/>
        <v>5192</v>
      </c>
      <c r="P275" s="160">
        <f t="shared" si="85"/>
        <v>24282</v>
      </c>
      <c r="Q275" s="159">
        <f t="shared" si="86"/>
        <v>5192</v>
      </c>
      <c r="R275" s="161">
        <f t="shared" si="87"/>
        <v>24282</v>
      </c>
      <c r="S275" s="127"/>
      <c r="T275" s="127"/>
      <c r="U275" s="128"/>
      <c r="V275" s="127"/>
      <c r="W275" s="122"/>
      <c r="X275" s="122"/>
      <c r="Y275" s="122"/>
      <c r="Z275" s="122"/>
      <c r="AA275" s="56"/>
      <c r="AB275" s="56"/>
      <c r="AC275" s="56"/>
      <c r="AD275" s="56"/>
    </row>
    <row r="276" spans="2:30">
      <c r="B276" s="145">
        <v>13</v>
      </c>
      <c r="C276" s="159">
        <f t="shared" si="76"/>
        <v>5571</v>
      </c>
      <c r="D276" s="160">
        <f t="shared" si="78"/>
        <v>23779</v>
      </c>
      <c r="E276" s="159">
        <f t="shared" si="77"/>
        <v>5571</v>
      </c>
      <c r="F276" s="161">
        <f t="shared" si="79"/>
        <v>23779</v>
      </c>
      <c r="G276" s="128"/>
      <c r="H276" s="145">
        <v>13</v>
      </c>
      <c r="I276" s="159">
        <f t="shared" si="80"/>
        <v>5571</v>
      </c>
      <c r="J276" s="160">
        <f t="shared" si="81"/>
        <v>23740</v>
      </c>
      <c r="K276" s="159">
        <f t="shared" si="82"/>
        <v>5625</v>
      </c>
      <c r="L276" s="161">
        <f t="shared" si="83"/>
        <v>24007</v>
      </c>
      <c r="M276" s="127"/>
      <c r="N276" s="145">
        <v>13</v>
      </c>
      <c r="O276" s="159">
        <f t="shared" si="84"/>
        <v>5625</v>
      </c>
      <c r="P276" s="160">
        <f t="shared" si="85"/>
        <v>23968</v>
      </c>
      <c r="Q276" s="159">
        <f t="shared" si="86"/>
        <v>5625</v>
      </c>
      <c r="R276" s="161">
        <f t="shared" si="87"/>
        <v>23968</v>
      </c>
      <c r="S276" s="127"/>
      <c r="T276" s="127"/>
      <c r="U276" s="128"/>
      <c r="V276" s="127"/>
      <c r="W276" s="122"/>
      <c r="X276" s="122"/>
      <c r="Y276" s="122"/>
      <c r="Z276" s="122"/>
      <c r="AA276" s="56"/>
      <c r="AB276" s="56"/>
      <c r="AC276" s="56"/>
      <c r="AD276" s="56"/>
    </row>
    <row r="277" spans="2:30">
      <c r="B277" s="145">
        <v>14</v>
      </c>
      <c r="C277" s="159">
        <f t="shared" si="76"/>
        <v>6000</v>
      </c>
      <c r="D277" s="160">
        <f t="shared" si="78"/>
        <v>23462</v>
      </c>
      <c r="E277" s="159">
        <f t="shared" si="77"/>
        <v>6000</v>
      </c>
      <c r="F277" s="161">
        <f t="shared" si="79"/>
        <v>23462</v>
      </c>
      <c r="G277" s="128"/>
      <c r="H277" s="145">
        <v>14</v>
      </c>
      <c r="I277" s="159">
        <f t="shared" si="80"/>
        <v>6000</v>
      </c>
      <c r="J277" s="160">
        <f t="shared" si="81"/>
        <v>23420</v>
      </c>
      <c r="K277" s="159">
        <f t="shared" si="82"/>
        <v>6058</v>
      </c>
      <c r="L277" s="161">
        <f t="shared" si="83"/>
        <v>23696</v>
      </c>
      <c r="M277" s="127"/>
      <c r="N277" s="145">
        <v>14</v>
      </c>
      <c r="O277" s="159">
        <f t="shared" si="84"/>
        <v>6058</v>
      </c>
      <c r="P277" s="160">
        <f t="shared" si="85"/>
        <v>23654</v>
      </c>
      <c r="Q277" s="159">
        <f t="shared" si="86"/>
        <v>6058</v>
      </c>
      <c r="R277" s="161">
        <f t="shared" si="87"/>
        <v>23654</v>
      </c>
      <c r="S277" s="127"/>
      <c r="T277" s="127"/>
      <c r="U277" s="128"/>
      <c r="V277" s="127"/>
      <c r="W277" s="122"/>
      <c r="X277" s="122"/>
      <c r="Y277" s="122"/>
      <c r="Z277" s="122"/>
      <c r="AA277" s="56"/>
      <c r="AB277" s="56"/>
      <c r="AC277" s="56"/>
      <c r="AD277" s="56"/>
    </row>
    <row r="278" spans="2:30">
      <c r="B278" s="145">
        <v>15</v>
      </c>
      <c r="C278" s="159">
        <f t="shared" si="76"/>
        <v>6429</v>
      </c>
      <c r="D278" s="160">
        <f t="shared" si="78"/>
        <v>23145</v>
      </c>
      <c r="E278" s="159">
        <f t="shared" si="77"/>
        <v>6429</v>
      </c>
      <c r="F278" s="161">
        <f t="shared" si="79"/>
        <v>23145</v>
      </c>
      <c r="G278" s="128"/>
      <c r="H278" s="145">
        <v>15</v>
      </c>
      <c r="I278" s="159">
        <f t="shared" si="80"/>
        <v>6429</v>
      </c>
      <c r="J278" s="160">
        <f t="shared" si="81"/>
        <v>23100</v>
      </c>
      <c r="K278" s="159">
        <f t="shared" si="82"/>
        <v>6490</v>
      </c>
      <c r="L278" s="161">
        <f t="shared" si="83"/>
        <v>23385</v>
      </c>
      <c r="M278" s="127"/>
      <c r="N278" s="145">
        <v>15</v>
      </c>
      <c r="O278" s="159">
        <f t="shared" si="84"/>
        <v>6490</v>
      </c>
      <c r="P278" s="160">
        <f t="shared" si="85"/>
        <v>23340</v>
      </c>
      <c r="Q278" s="159">
        <f t="shared" si="86"/>
        <v>6490</v>
      </c>
      <c r="R278" s="161">
        <f t="shared" si="87"/>
        <v>23340</v>
      </c>
      <c r="S278" s="127"/>
      <c r="T278" s="127"/>
      <c r="U278" s="128"/>
      <c r="V278" s="127"/>
      <c r="W278" s="122"/>
      <c r="X278" s="122"/>
      <c r="Y278" s="122"/>
      <c r="Z278" s="122"/>
      <c r="AA278" s="56"/>
      <c r="AB278" s="56"/>
      <c r="AC278" s="56"/>
      <c r="AD278" s="56"/>
    </row>
    <row r="279" spans="2:30">
      <c r="B279" s="145">
        <v>16</v>
      </c>
      <c r="C279" s="159">
        <f t="shared" si="76"/>
        <v>6857</v>
      </c>
      <c r="D279" s="160">
        <f t="shared" si="78"/>
        <v>22828</v>
      </c>
      <c r="E279" s="159">
        <f t="shared" si="77"/>
        <v>6857</v>
      </c>
      <c r="F279" s="161">
        <f t="shared" si="79"/>
        <v>22828</v>
      </c>
      <c r="G279" s="128"/>
      <c r="H279" s="145">
        <v>16</v>
      </c>
      <c r="I279" s="159">
        <f t="shared" si="80"/>
        <v>6857</v>
      </c>
      <c r="J279" s="160">
        <f t="shared" si="81"/>
        <v>22780</v>
      </c>
      <c r="K279" s="159">
        <f t="shared" si="82"/>
        <v>6923</v>
      </c>
      <c r="L279" s="161">
        <f t="shared" si="83"/>
        <v>23074</v>
      </c>
      <c r="M279" s="127"/>
      <c r="N279" s="145">
        <v>16</v>
      </c>
      <c r="O279" s="159">
        <f t="shared" si="84"/>
        <v>6923</v>
      </c>
      <c r="P279" s="160">
        <f t="shared" si="85"/>
        <v>23026</v>
      </c>
      <c r="Q279" s="159">
        <f t="shared" si="86"/>
        <v>6923</v>
      </c>
      <c r="R279" s="161">
        <f t="shared" si="87"/>
        <v>23026</v>
      </c>
      <c r="S279" s="127"/>
      <c r="T279" s="127"/>
      <c r="U279" s="128"/>
      <c r="V279" s="127"/>
      <c r="W279" s="122"/>
      <c r="X279" s="122"/>
      <c r="Y279" s="122"/>
      <c r="Z279" s="122"/>
      <c r="AA279" s="56"/>
      <c r="AB279" s="56"/>
      <c r="AC279" s="56"/>
      <c r="AD279" s="56"/>
    </row>
    <row r="280" spans="2:30">
      <c r="B280" s="145">
        <v>17</v>
      </c>
      <c r="C280" s="159">
        <f t="shared" si="76"/>
        <v>7286</v>
      </c>
      <c r="D280" s="160">
        <f t="shared" si="78"/>
        <v>22511</v>
      </c>
      <c r="E280" s="159">
        <f t="shared" si="77"/>
        <v>7286</v>
      </c>
      <c r="F280" s="161">
        <f t="shared" si="79"/>
        <v>22511</v>
      </c>
      <c r="G280" s="128"/>
      <c r="H280" s="145">
        <v>17</v>
      </c>
      <c r="I280" s="159">
        <f t="shared" si="80"/>
        <v>7286</v>
      </c>
      <c r="J280" s="160">
        <f t="shared" si="81"/>
        <v>22460</v>
      </c>
      <c r="K280" s="159">
        <f t="shared" si="82"/>
        <v>7356</v>
      </c>
      <c r="L280" s="161">
        <f t="shared" si="83"/>
        <v>22763</v>
      </c>
      <c r="M280" s="127"/>
      <c r="N280" s="145">
        <v>17</v>
      </c>
      <c r="O280" s="159">
        <f t="shared" si="84"/>
        <v>7356</v>
      </c>
      <c r="P280" s="160">
        <f t="shared" si="85"/>
        <v>22712</v>
      </c>
      <c r="Q280" s="159">
        <f t="shared" si="86"/>
        <v>7356</v>
      </c>
      <c r="R280" s="161">
        <f t="shared" si="87"/>
        <v>22712</v>
      </c>
      <c r="S280" s="127"/>
      <c r="T280" s="127"/>
      <c r="U280" s="128"/>
      <c r="V280" s="127"/>
      <c r="W280" s="122"/>
      <c r="X280" s="122"/>
      <c r="Y280" s="122"/>
      <c r="Z280" s="122"/>
      <c r="AA280" s="56"/>
      <c r="AB280" s="56"/>
      <c r="AC280" s="56"/>
      <c r="AD280" s="56"/>
    </row>
    <row r="281" spans="2:30">
      <c r="B281" s="145">
        <v>18</v>
      </c>
      <c r="C281" s="159">
        <f t="shared" si="76"/>
        <v>7714</v>
      </c>
      <c r="D281" s="160">
        <f t="shared" si="78"/>
        <v>22194</v>
      </c>
      <c r="E281" s="159">
        <f t="shared" si="77"/>
        <v>7714</v>
      </c>
      <c r="F281" s="161">
        <f t="shared" si="79"/>
        <v>22194</v>
      </c>
      <c r="G281" s="128"/>
      <c r="H281" s="145">
        <v>18</v>
      </c>
      <c r="I281" s="159">
        <f t="shared" si="80"/>
        <v>7714</v>
      </c>
      <c r="J281" s="160">
        <f t="shared" si="81"/>
        <v>22140</v>
      </c>
      <c r="K281" s="159">
        <f t="shared" si="82"/>
        <v>7788</v>
      </c>
      <c r="L281" s="161">
        <f t="shared" si="83"/>
        <v>22452</v>
      </c>
      <c r="M281" s="127"/>
      <c r="N281" s="145">
        <v>18</v>
      </c>
      <c r="O281" s="159">
        <f t="shared" si="84"/>
        <v>7788</v>
      </c>
      <c r="P281" s="160">
        <f t="shared" si="85"/>
        <v>22398</v>
      </c>
      <c r="Q281" s="159">
        <f t="shared" si="86"/>
        <v>7788</v>
      </c>
      <c r="R281" s="161">
        <f t="shared" si="87"/>
        <v>22398</v>
      </c>
      <c r="S281" s="127"/>
      <c r="T281" s="127"/>
      <c r="U281" s="128"/>
      <c r="V281" s="127"/>
      <c r="W281" s="122"/>
      <c r="X281" s="122"/>
      <c r="Y281" s="122"/>
      <c r="Z281" s="122"/>
      <c r="AA281" s="56"/>
      <c r="AB281" s="56"/>
      <c r="AC281" s="56"/>
      <c r="AD281" s="56"/>
    </row>
    <row r="282" spans="2:30">
      <c r="B282" s="145">
        <v>19</v>
      </c>
      <c r="C282" s="159">
        <f t="shared" si="76"/>
        <v>8143</v>
      </c>
      <c r="D282" s="160">
        <f t="shared" si="78"/>
        <v>21877</v>
      </c>
      <c r="E282" s="159">
        <f t="shared" si="77"/>
        <v>8143</v>
      </c>
      <c r="F282" s="161">
        <f t="shared" si="79"/>
        <v>21877</v>
      </c>
      <c r="G282" s="128"/>
      <c r="H282" s="145">
        <v>19</v>
      </c>
      <c r="I282" s="159">
        <f t="shared" si="80"/>
        <v>8143</v>
      </c>
      <c r="J282" s="160">
        <f t="shared" si="81"/>
        <v>21820</v>
      </c>
      <c r="K282" s="159">
        <f t="shared" si="82"/>
        <v>8221</v>
      </c>
      <c r="L282" s="161">
        <f t="shared" si="83"/>
        <v>22141</v>
      </c>
      <c r="M282" s="127"/>
      <c r="N282" s="145">
        <v>19</v>
      </c>
      <c r="O282" s="159">
        <f t="shared" si="84"/>
        <v>8221</v>
      </c>
      <c r="P282" s="160">
        <f t="shared" si="85"/>
        <v>22084</v>
      </c>
      <c r="Q282" s="159">
        <f t="shared" si="86"/>
        <v>8221</v>
      </c>
      <c r="R282" s="161">
        <f t="shared" si="87"/>
        <v>22084</v>
      </c>
      <c r="S282" s="127"/>
      <c r="T282" s="127"/>
      <c r="U282" s="128"/>
      <c r="V282" s="127"/>
      <c r="W282" s="122"/>
      <c r="X282" s="122"/>
      <c r="Y282" s="122"/>
      <c r="Z282" s="122"/>
      <c r="AA282" s="56"/>
      <c r="AB282" s="56"/>
      <c r="AC282" s="56"/>
      <c r="AD282" s="56"/>
    </row>
    <row r="283" spans="2:30">
      <c r="B283" s="146">
        <v>20</v>
      </c>
      <c r="C283" s="162">
        <f t="shared" si="76"/>
        <v>8571</v>
      </c>
      <c r="D283" s="163">
        <f t="shared" si="78"/>
        <v>21560</v>
      </c>
      <c r="E283" s="162">
        <f t="shared" si="77"/>
        <v>8571</v>
      </c>
      <c r="F283" s="164">
        <f t="shared" si="79"/>
        <v>21560</v>
      </c>
      <c r="G283" s="128"/>
      <c r="H283" s="146">
        <v>20</v>
      </c>
      <c r="I283" s="162">
        <f t="shared" si="80"/>
        <v>8571</v>
      </c>
      <c r="J283" s="163">
        <f t="shared" si="81"/>
        <v>21500</v>
      </c>
      <c r="K283" s="162">
        <f t="shared" si="82"/>
        <v>8654</v>
      </c>
      <c r="L283" s="164">
        <f t="shared" si="83"/>
        <v>21830</v>
      </c>
      <c r="M283" s="127"/>
      <c r="N283" s="146">
        <v>20</v>
      </c>
      <c r="O283" s="162">
        <f t="shared" si="84"/>
        <v>8654</v>
      </c>
      <c r="P283" s="163">
        <f t="shared" si="85"/>
        <v>21770</v>
      </c>
      <c r="Q283" s="162">
        <f t="shared" si="86"/>
        <v>8654</v>
      </c>
      <c r="R283" s="164">
        <f t="shared" si="87"/>
        <v>21770</v>
      </c>
      <c r="S283" s="127"/>
      <c r="T283" s="127"/>
      <c r="U283" s="128"/>
      <c r="V283" s="127"/>
      <c r="W283" s="122"/>
      <c r="X283" s="122"/>
      <c r="Y283" s="122"/>
      <c r="Z283" s="122"/>
      <c r="AA283" s="56"/>
      <c r="AB283" s="56"/>
      <c r="AC283" s="56"/>
      <c r="AD283" s="56"/>
    </row>
    <row r="284" spans="2:30">
      <c r="B284" s="145">
        <v>21</v>
      </c>
      <c r="C284" s="159">
        <f t="shared" si="76"/>
        <v>9000</v>
      </c>
      <c r="D284" s="160">
        <f t="shared" si="78"/>
        <v>21243</v>
      </c>
      <c r="E284" s="159">
        <f t="shared" si="77"/>
        <v>9000</v>
      </c>
      <c r="F284" s="161">
        <f t="shared" si="79"/>
        <v>21243</v>
      </c>
      <c r="G284" s="128"/>
      <c r="H284" s="145">
        <v>21</v>
      </c>
      <c r="I284" s="159">
        <f t="shared" si="80"/>
        <v>9000</v>
      </c>
      <c r="J284" s="160">
        <f t="shared" si="81"/>
        <v>21180</v>
      </c>
      <c r="K284" s="159">
        <f t="shared" si="82"/>
        <v>9087</v>
      </c>
      <c r="L284" s="161">
        <f t="shared" si="83"/>
        <v>21519</v>
      </c>
      <c r="M284" s="127"/>
      <c r="N284" s="145">
        <v>21</v>
      </c>
      <c r="O284" s="159">
        <f t="shared" si="84"/>
        <v>9087</v>
      </c>
      <c r="P284" s="160">
        <f t="shared" si="85"/>
        <v>21456</v>
      </c>
      <c r="Q284" s="159">
        <f t="shared" si="86"/>
        <v>9087</v>
      </c>
      <c r="R284" s="161">
        <f t="shared" si="87"/>
        <v>21456</v>
      </c>
      <c r="S284" s="127"/>
      <c r="T284" s="127"/>
      <c r="U284" s="128"/>
      <c r="V284" s="127"/>
      <c r="W284" s="122"/>
      <c r="X284" s="122"/>
      <c r="Y284" s="122"/>
      <c r="Z284" s="122"/>
      <c r="AA284" s="56"/>
      <c r="AB284" s="56"/>
      <c r="AC284" s="56"/>
      <c r="AD284" s="56"/>
    </row>
    <row r="285" spans="2:30">
      <c r="B285" s="145">
        <v>22</v>
      </c>
      <c r="C285" s="159">
        <f t="shared" si="76"/>
        <v>9429</v>
      </c>
      <c r="D285" s="160">
        <f t="shared" si="78"/>
        <v>20926</v>
      </c>
      <c r="E285" s="159">
        <f t="shared" si="77"/>
        <v>9429</v>
      </c>
      <c r="F285" s="161">
        <f t="shared" si="79"/>
        <v>20926</v>
      </c>
      <c r="G285" s="128"/>
      <c r="H285" s="145">
        <v>22</v>
      </c>
      <c r="I285" s="159">
        <f t="shared" si="80"/>
        <v>9429</v>
      </c>
      <c r="J285" s="160">
        <f t="shared" si="81"/>
        <v>20860</v>
      </c>
      <c r="K285" s="159">
        <f t="shared" si="82"/>
        <v>9519</v>
      </c>
      <c r="L285" s="161">
        <f t="shared" si="83"/>
        <v>21208</v>
      </c>
      <c r="M285" s="127"/>
      <c r="N285" s="145">
        <v>22</v>
      </c>
      <c r="O285" s="159">
        <f t="shared" si="84"/>
        <v>9519</v>
      </c>
      <c r="P285" s="160">
        <f t="shared" si="85"/>
        <v>21142</v>
      </c>
      <c r="Q285" s="159">
        <f t="shared" si="86"/>
        <v>9519</v>
      </c>
      <c r="R285" s="161">
        <f t="shared" si="87"/>
        <v>21142</v>
      </c>
      <c r="S285" s="127"/>
      <c r="T285" s="127"/>
      <c r="U285" s="128"/>
      <c r="V285" s="127"/>
      <c r="W285" s="122"/>
      <c r="X285" s="122"/>
      <c r="Y285" s="122"/>
      <c r="Z285" s="122"/>
      <c r="AA285" s="56"/>
      <c r="AB285" s="56"/>
      <c r="AC285" s="56"/>
      <c r="AD285" s="56"/>
    </row>
    <row r="286" spans="2:30">
      <c r="B286" s="145">
        <v>23</v>
      </c>
      <c r="C286" s="159">
        <f t="shared" si="76"/>
        <v>9857</v>
      </c>
      <c r="D286" s="160">
        <f t="shared" si="78"/>
        <v>20609</v>
      </c>
      <c r="E286" s="159">
        <f t="shared" si="77"/>
        <v>9857</v>
      </c>
      <c r="F286" s="161">
        <f t="shared" si="79"/>
        <v>20609</v>
      </c>
      <c r="G286" s="128"/>
      <c r="H286" s="145">
        <v>23</v>
      </c>
      <c r="I286" s="159">
        <f t="shared" si="80"/>
        <v>9857</v>
      </c>
      <c r="J286" s="160">
        <f t="shared" si="81"/>
        <v>20540</v>
      </c>
      <c r="K286" s="159">
        <f t="shared" si="82"/>
        <v>9952</v>
      </c>
      <c r="L286" s="161">
        <f t="shared" si="83"/>
        <v>20897</v>
      </c>
      <c r="M286" s="127"/>
      <c r="N286" s="145">
        <v>23</v>
      </c>
      <c r="O286" s="159">
        <f t="shared" si="84"/>
        <v>9952</v>
      </c>
      <c r="P286" s="160">
        <f t="shared" si="85"/>
        <v>20828</v>
      </c>
      <c r="Q286" s="159">
        <f t="shared" si="86"/>
        <v>9952</v>
      </c>
      <c r="R286" s="161">
        <f t="shared" si="87"/>
        <v>20828</v>
      </c>
      <c r="S286" s="127"/>
      <c r="T286" s="127"/>
      <c r="U286" s="128"/>
      <c r="V286" s="127"/>
      <c r="W286" s="122"/>
      <c r="X286" s="122"/>
      <c r="Y286" s="122"/>
      <c r="Z286" s="122"/>
      <c r="AA286" s="56"/>
      <c r="AB286" s="56"/>
      <c r="AC286" s="56"/>
      <c r="AD286" s="56"/>
    </row>
    <row r="287" spans="2:30">
      <c r="B287" s="145">
        <v>24</v>
      </c>
      <c r="C287" s="159">
        <f t="shared" si="76"/>
        <v>10286</v>
      </c>
      <c r="D287" s="160">
        <f t="shared" si="78"/>
        <v>20292</v>
      </c>
      <c r="E287" s="159">
        <f t="shared" si="77"/>
        <v>10286</v>
      </c>
      <c r="F287" s="161">
        <f t="shared" si="79"/>
        <v>20292</v>
      </c>
      <c r="G287" s="128"/>
      <c r="H287" s="145">
        <v>24</v>
      </c>
      <c r="I287" s="159">
        <f t="shared" si="80"/>
        <v>10286</v>
      </c>
      <c r="J287" s="160">
        <f t="shared" si="81"/>
        <v>20220</v>
      </c>
      <c r="K287" s="159">
        <f t="shared" si="82"/>
        <v>10385</v>
      </c>
      <c r="L287" s="161">
        <f t="shared" si="83"/>
        <v>20586</v>
      </c>
      <c r="M287" s="127"/>
      <c r="N287" s="145">
        <v>24</v>
      </c>
      <c r="O287" s="159">
        <f t="shared" si="84"/>
        <v>10385</v>
      </c>
      <c r="P287" s="160">
        <f t="shared" si="85"/>
        <v>20514</v>
      </c>
      <c r="Q287" s="159">
        <f t="shared" si="86"/>
        <v>10385</v>
      </c>
      <c r="R287" s="161">
        <f t="shared" si="87"/>
        <v>20514</v>
      </c>
      <c r="S287" s="127"/>
      <c r="T287" s="127"/>
      <c r="U287" s="128"/>
      <c r="V287" s="127"/>
      <c r="W287" s="122"/>
      <c r="X287" s="122"/>
      <c r="Y287" s="122"/>
      <c r="Z287" s="122"/>
      <c r="AA287" s="56"/>
      <c r="AB287" s="56"/>
      <c r="AC287" s="56"/>
      <c r="AD287" s="56"/>
    </row>
    <row r="288" spans="2:30">
      <c r="B288" s="145">
        <v>25</v>
      </c>
      <c r="C288" s="159">
        <f t="shared" si="76"/>
        <v>10714</v>
      </c>
      <c r="D288" s="160">
        <f t="shared" si="78"/>
        <v>19975</v>
      </c>
      <c r="E288" s="159">
        <f t="shared" si="77"/>
        <v>10714</v>
      </c>
      <c r="F288" s="161">
        <f t="shared" si="79"/>
        <v>19975</v>
      </c>
      <c r="G288" s="128"/>
      <c r="H288" s="145">
        <v>25</v>
      </c>
      <c r="I288" s="159">
        <f t="shared" si="80"/>
        <v>10714</v>
      </c>
      <c r="J288" s="160">
        <f t="shared" si="81"/>
        <v>19900</v>
      </c>
      <c r="K288" s="159">
        <f t="shared" si="82"/>
        <v>10817</v>
      </c>
      <c r="L288" s="161">
        <f t="shared" si="83"/>
        <v>20275</v>
      </c>
      <c r="M288" s="127"/>
      <c r="N288" s="145">
        <v>25</v>
      </c>
      <c r="O288" s="159">
        <f t="shared" si="84"/>
        <v>10817</v>
      </c>
      <c r="P288" s="160">
        <f t="shared" si="85"/>
        <v>20200</v>
      </c>
      <c r="Q288" s="159">
        <f t="shared" si="86"/>
        <v>10817</v>
      </c>
      <c r="R288" s="161">
        <f t="shared" si="87"/>
        <v>20200</v>
      </c>
      <c r="S288" s="127"/>
      <c r="T288" s="127"/>
      <c r="U288" s="128"/>
      <c r="V288" s="127"/>
      <c r="W288" s="122"/>
      <c r="X288" s="122"/>
      <c r="Y288" s="122"/>
      <c r="Z288" s="122"/>
      <c r="AA288" s="56"/>
      <c r="AB288" s="56"/>
      <c r="AC288" s="56"/>
      <c r="AD288" s="56"/>
    </row>
    <row r="289" spans="2:30">
      <c r="B289" s="145">
        <v>26</v>
      </c>
      <c r="C289" s="159">
        <f t="shared" si="76"/>
        <v>11143</v>
      </c>
      <c r="D289" s="160">
        <f t="shared" si="78"/>
        <v>19658</v>
      </c>
      <c r="E289" s="159">
        <f t="shared" si="77"/>
        <v>11143</v>
      </c>
      <c r="F289" s="161">
        <f t="shared" si="79"/>
        <v>19658</v>
      </c>
      <c r="G289" s="128"/>
      <c r="H289" s="145">
        <v>26</v>
      </c>
      <c r="I289" s="159">
        <f t="shared" si="80"/>
        <v>11143</v>
      </c>
      <c r="J289" s="160">
        <f t="shared" si="81"/>
        <v>19580</v>
      </c>
      <c r="K289" s="159">
        <f t="shared" si="82"/>
        <v>11250</v>
      </c>
      <c r="L289" s="161">
        <f t="shared" si="83"/>
        <v>19964</v>
      </c>
      <c r="M289" s="127"/>
      <c r="N289" s="145">
        <v>26</v>
      </c>
      <c r="O289" s="159">
        <f t="shared" si="84"/>
        <v>11250</v>
      </c>
      <c r="P289" s="160">
        <f t="shared" si="85"/>
        <v>19886</v>
      </c>
      <c r="Q289" s="159">
        <f t="shared" si="86"/>
        <v>11250</v>
      </c>
      <c r="R289" s="161">
        <f t="shared" si="87"/>
        <v>19886</v>
      </c>
      <c r="S289" s="127"/>
      <c r="T289" s="127"/>
      <c r="U289" s="128"/>
      <c r="V289" s="127"/>
      <c r="W289" s="122"/>
      <c r="X289" s="122"/>
      <c r="Y289" s="122"/>
      <c r="Z289" s="122"/>
      <c r="AA289" s="56"/>
      <c r="AB289" s="56"/>
      <c r="AC289" s="56"/>
      <c r="AD289" s="56"/>
    </row>
    <row r="290" spans="2:30">
      <c r="B290" s="145">
        <v>27</v>
      </c>
      <c r="C290" s="159">
        <f t="shared" si="76"/>
        <v>11571</v>
      </c>
      <c r="D290" s="160">
        <f t="shared" si="78"/>
        <v>19341</v>
      </c>
      <c r="E290" s="159">
        <f t="shared" si="77"/>
        <v>11571</v>
      </c>
      <c r="F290" s="161">
        <f t="shared" si="79"/>
        <v>19341</v>
      </c>
      <c r="G290" s="128"/>
      <c r="H290" s="145">
        <v>27</v>
      </c>
      <c r="I290" s="159">
        <f t="shared" si="80"/>
        <v>11571</v>
      </c>
      <c r="J290" s="160">
        <f t="shared" si="81"/>
        <v>19260</v>
      </c>
      <c r="K290" s="159">
        <f t="shared" si="82"/>
        <v>11683</v>
      </c>
      <c r="L290" s="161">
        <f t="shared" si="83"/>
        <v>19653</v>
      </c>
      <c r="M290" s="127"/>
      <c r="N290" s="145">
        <v>27</v>
      </c>
      <c r="O290" s="159">
        <f t="shared" si="84"/>
        <v>11683</v>
      </c>
      <c r="P290" s="160">
        <f t="shared" si="85"/>
        <v>19572</v>
      </c>
      <c r="Q290" s="159">
        <f t="shared" si="86"/>
        <v>11683</v>
      </c>
      <c r="R290" s="161">
        <f t="shared" si="87"/>
        <v>19572</v>
      </c>
      <c r="S290" s="127"/>
      <c r="T290" s="127"/>
      <c r="U290" s="128"/>
      <c r="V290" s="127"/>
      <c r="W290" s="122"/>
      <c r="X290" s="122"/>
      <c r="Y290" s="122"/>
      <c r="Z290" s="122"/>
      <c r="AA290" s="56"/>
      <c r="AB290" s="56"/>
      <c r="AC290" s="56"/>
      <c r="AD290" s="56"/>
    </row>
    <row r="291" spans="2:30">
      <c r="B291" s="145">
        <v>28</v>
      </c>
      <c r="C291" s="159">
        <f t="shared" si="76"/>
        <v>12000</v>
      </c>
      <c r="D291" s="160">
        <f t="shared" si="78"/>
        <v>19024</v>
      </c>
      <c r="E291" s="159">
        <f t="shared" si="77"/>
        <v>12000</v>
      </c>
      <c r="F291" s="161">
        <f t="shared" si="79"/>
        <v>19024</v>
      </c>
      <c r="G291" s="128"/>
      <c r="H291" s="145">
        <v>28</v>
      </c>
      <c r="I291" s="159">
        <f t="shared" si="80"/>
        <v>12000</v>
      </c>
      <c r="J291" s="160">
        <f t="shared" si="81"/>
        <v>18940</v>
      </c>
      <c r="K291" s="159">
        <f t="shared" si="82"/>
        <v>12115</v>
      </c>
      <c r="L291" s="161">
        <f t="shared" si="83"/>
        <v>19342</v>
      </c>
      <c r="M291" s="127"/>
      <c r="N291" s="145">
        <v>28</v>
      </c>
      <c r="O291" s="159">
        <f t="shared" si="84"/>
        <v>12115</v>
      </c>
      <c r="P291" s="160">
        <f t="shared" si="85"/>
        <v>19258</v>
      </c>
      <c r="Q291" s="159">
        <f t="shared" si="86"/>
        <v>12115</v>
      </c>
      <c r="R291" s="161">
        <f t="shared" si="87"/>
        <v>19258</v>
      </c>
      <c r="S291" s="127"/>
      <c r="T291" s="127"/>
      <c r="U291" s="128"/>
      <c r="V291" s="127"/>
      <c r="W291" s="122"/>
      <c r="X291" s="122"/>
      <c r="Y291" s="122"/>
      <c r="Z291" s="122"/>
      <c r="AA291" s="56"/>
      <c r="AB291" s="56"/>
      <c r="AC291" s="56"/>
      <c r="AD291" s="56"/>
    </row>
    <row r="292" spans="2:30">
      <c r="B292" s="145">
        <v>29</v>
      </c>
      <c r="C292" s="159">
        <f t="shared" si="76"/>
        <v>12429</v>
      </c>
      <c r="D292" s="160">
        <f t="shared" si="78"/>
        <v>18707</v>
      </c>
      <c r="E292" s="159">
        <f t="shared" si="77"/>
        <v>12429</v>
      </c>
      <c r="F292" s="161">
        <f t="shared" si="79"/>
        <v>18707</v>
      </c>
      <c r="G292" s="128"/>
      <c r="H292" s="145">
        <v>29</v>
      </c>
      <c r="I292" s="159">
        <f t="shared" si="80"/>
        <v>12429</v>
      </c>
      <c r="J292" s="160">
        <f t="shared" si="81"/>
        <v>18620</v>
      </c>
      <c r="K292" s="159">
        <f t="shared" si="82"/>
        <v>12548</v>
      </c>
      <c r="L292" s="161">
        <f t="shared" si="83"/>
        <v>19031</v>
      </c>
      <c r="M292" s="127"/>
      <c r="N292" s="145">
        <v>29</v>
      </c>
      <c r="O292" s="159">
        <f t="shared" si="84"/>
        <v>12548</v>
      </c>
      <c r="P292" s="160">
        <f t="shared" si="85"/>
        <v>18944</v>
      </c>
      <c r="Q292" s="159">
        <f t="shared" si="86"/>
        <v>12548</v>
      </c>
      <c r="R292" s="161">
        <f t="shared" si="87"/>
        <v>18944</v>
      </c>
      <c r="S292" s="127"/>
      <c r="T292" s="127"/>
      <c r="U292" s="128"/>
      <c r="V292" s="127"/>
      <c r="W292" s="122"/>
      <c r="X292" s="122"/>
      <c r="Y292" s="122"/>
      <c r="Z292" s="122"/>
      <c r="AA292" s="56"/>
      <c r="AB292" s="56"/>
      <c r="AC292" s="56"/>
      <c r="AD292" s="56"/>
    </row>
    <row r="293" spans="2:30">
      <c r="B293" s="146">
        <v>30</v>
      </c>
      <c r="C293" s="162">
        <f t="shared" si="76"/>
        <v>12857</v>
      </c>
      <c r="D293" s="163">
        <f t="shared" si="78"/>
        <v>18390</v>
      </c>
      <c r="E293" s="162">
        <f t="shared" si="77"/>
        <v>12857</v>
      </c>
      <c r="F293" s="164">
        <f t="shared" si="79"/>
        <v>18390</v>
      </c>
      <c r="G293" s="128"/>
      <c r="H293" s="146">
        <v>30</v>
      </c>
      <c r="I293" s="162">
        <f t="shared" si="80"/>
        <v>12857</v>
      </c>
      <c r="J293" s="163">
        <f t="shared" si="81"/>
        <v>18300</v>
      </c>
      <c r="K293" s="162">
        <f t="shared" si="82"/>
        <v>12981</v>
      </c>
      <c r="L293" s="164">
        <f t="shared" si="83"/>
        <v>18720</v>
      </c>
      <c r="M293" s="127"/>
      <c r="N293" s="146">
        <v>30</v>
      </c>
      <c r="O293" s="162">
        <f t="shared" si="84"/>
        <v>12981</v>
      </c>
      <c r="P293" s="163">
        <f t="shared" si="85"/>
        <v>18630</v>
      </c>
      <c r="Q293" s="162">
        <f t="shared" si="86"/>
        <v>12981</v>
      </c>
      <c r="R293" s="164">
        <f t="shared" si="87"/>
        <v>18630</v>
      </c>
      <c r="S293" s="127"/>
      <c r="T293" s="127"/>
      <c r="U293" s="128"/>
      <c r="V293" s="127"/>
      <c r="W293" s="122"/>
      <c r="X293" s="122"/>
      <c r="Y293" s="122"/>
      <c r="Z293" s="122"/>
      <c r="AA293" s="56"/>
      <c r="AB293" s="56"/>
      <c r="AC293" s="56"/>
      <c r="AD293" s="56"/>
    </row>
    <row r="294" spans="2:30">
      <c r="B294" s="145">
        <v>31</v>
      </c>
      <c r="C294" s="159">
        <f t="shared" si="76"/>
        <v>13286</v>
      </c>
      <c r="D294" s="160">
        <f t="shared" si="78"/>
        <v>18073</v>
      </c>
      <c r="E294" s="159">
        <f t="shared" si="77"/>
        <v>13286</v>
      </c>
      <c r="F294" s="161">
        <f t="shared" si="79"/>
        <v>18073</v>
      </c>
      <c r="G294" s="128"/>
      <c r="H294" s="145">
        <v>31</v>
      </c>
      <c r="I294" s="159">
        <f t="shared" si="80"/>
        <v>13286</v>
      </c>
      <c r="J294" s="160">
        <f t="shared" si="81"/>
        <v>17980</v>
      </c>
      <c r="K294" s="159">
        <f t="shared" si="82"/>
        <v>13413</v>
      </c>
      <c r="L294" s="161">
        <f t="shared" si="83"/>
        <v>18409</v>
      </c>
      <c r="M294" s="127"/>
      <c r="N294" s="145">
        <v>31</v>
      </c>
      <c r="O294" s="159">
        <f t="shared" si="84"/>
        <v>13413</v>
      </c>
      <c r="P294" s="160">
        <f t="shared" si="85"/>
        <v>18316</v>
      </c>
      <c r="Q294" s="159">
        <f t="shared" si="86"/>
        <v>13413</v>
      </c>
      <c r="R294" s="161">
        <f t="shared" si="87"/>
        <v>18316</v>
      </c>
      <c r="S294" s="127"/>
      <c r="T294" s="127"/>
      <c r="U294" s="128"/>
      <c r="V294" s="127"/>
      <c r="W294" s="122"/>
      <c r="X294" s="122"/>
      <c r="Y294" s="122"/>
      <c r="Z294" s="122"/>
      <c r="AA294" s="56"/>
      <c r="AB294" s="56"/>
      <c r="AC294" s="56"/>
      <c r="AD294" s="56"/>
    </row>
    <row r="295" spans="2:30">
      <c r="B295" s="145">
        <v>32</v>
      </c>
      <c r="C295" s="159">
        <f t="shared" si="76"/>
        <v>13714</v>
      </c>
      <c r="D295" s="160">
        <f t="shared" si="78"/>
        <v>17756</v>
      </c>
      <c r="E295" s="159">
        <f t="shared" si="77"/>
        <v>13714</v>
      </c>
      <c r="F295" s="161">
        <f t="shared" si="79"/>
        <v>17756</v>
      </c>
      <c r="G295" s="128"/>
      <c r="H295" s="145">
        <v>32</v>
      </c>
      <c r="I295" s="159">
        <f t="shared" si="80"/>
        <v>13714</v>
      </c>
      <c r="J295" s="160">
        <f t="shared" si="81"/>
        <v>17660</v>
      </c>
      <c r="K295" s="159">
        <f t="shared" si="82"/>
        <v>13846</v>
      </c>
      <c r="L295" s="161">
        <f t="shared" si="83"/>
        <v>18098</v>
      </c>
      <c r="M295" s="127"/>
      <c r="N295" s="145">
        <v>32</v>
      </c>
      <c r="O295" s="159">
        <f t="shared" si="84"/>
        <v>13846</v>
      </c>
      <c r="P295" s="160">
        <f t="shared" si="85"/>
        <v>18002</v>
      </c>
      <c r="Q295" s="159">
        <f t="shared" si="86"/>
        <v>13846</v>
      </c>
      <c r="R295" s="161">
        <f t="shared" si="87"/>
        <v>18002</v>
      </c>
      <c r="S295" s="127"/>
      <c r="T295" s="127"/>
      <c r="U295" s="128"/>
      <c r="V295" s="127"/>
      <c r="W295" s="122"/>
      <c r="X295" s="122"/>
      <c r="Y295" s="122"/>
      <c r="Z295" s="122"/>
      <c r="AA295" s="56"/>
      <c r="AB295" s="56"/>
      <c r="AC295" s="56"/>
      <c r="AD295" s="56"/>
    </row>
    <row r="296" spans="2:30">
      <c r="B296" s="145">
        <v>33</v>
      </c>
      <c r="C296" s="159">
        <f t="shared" ref="C296:C327" si="88">ROUND(B296*$E$23,0)</f>
        <v>14143</v>
      </c>
      <c r="D296" s="160">
        <f t="shared" si="78"/>
        <v>17439</v>
      </c>
      <c r="E296" s="159">
        <f t="shared" ref="E296:E327" si="89">ROUND(B296*$E$23,0)</f>
        <v>14143</v>
      </c>
      <c r="F296" s="161">
        <f t="shared" si="79"/>
        <v>17439</v>
      </c>
      <c r="G296" s="128"/>
      <c r="H296" s="145">
        <v>33</v>
      </c>
      <c r="I296" s="159">
        <f t="shared" si="80"/>
        <v>14143</v>
      </c>
      <c r="J296" s="160">
        <f t="shared" si="81"/>
        <v>17340</v>
      </c>
      <c r="K296" s="159">
        <f t="shared" si="82"/>
        <v>14279</v>
      </c>
      <c r="L296" s="161">
        <f t="shared" si="83"/>
        <v>17787</v>
      </c>
      <c r="M296" s="127"/>
      <c r="N296" s="145">
        <v>33</v>
      </c>
      <c r="O296" s="159">
        <f t="shared" si="84"/>
        <v>14279</v>
      </c>
      <c r="P296" s="160">
        <f t="shared" si="85"/>
        <v>17688</v>
      </c>
      <c r="Q296" s="159">
        <f t="shared" si="86"/>
        <v>14279</v>
      </c>
      <c r="R296" s="161">
        <f t="shared" si="87"/>
        <v>17688</v>
      </c>
      <c r="S296" s="127"/>
      <c r="T296" s="127"/>
      <c r="U296" s="128"/>
      <c r="V296" s="127"/>
      <c r="W296" s="122"/>
      <c r="X296" s="122"/>
      <c r="Y296" s="122"/>
      <c r="Z296" s="122"/>
      <c r="AA296" s="56"/>
      <c r="AB296" s="56"/>
      <c r="AC296" s="56"/>
      <c r="AD296" s="56"/>
    </row>
    <row r="297" spans="2:30">
      <c r="B297" s="145">
        <v>34</v>
      </c>
      <c r="C297" s="159">
        <f t="shared" si="88"/>
        <v>14571</v>
      </c>
      <c r="D297" s="160">
        <f t="shared" ref="D297:D328" si="90">ROUND(D296-($E$264-($E$264*$D$29%)),0)</f>
        <v>17122</v>
      </c>
      <c r="E297" s="159">
        <f t="shared" si="89"/>
        <v>14571</v>
      </c>
      <c r="F297" s="161">
        <f t="shared" ref="F297:F328" si="91">ROUND(F296-($C$264-($C$264*$D$29%)),0)</f>
        <v>17122</v>
      </c>
      <c r="G297" s="128"/>
      <c r="H297" s="145">
        <v>34</v>
      </c>
      <c r="I297" s="159">
        <f t="shared" si="80"/>
        <v>14571</v>
      </c>
      <c r="J297" s="160">
        <f t="shared" ref="J297:J328" si="92">ROUND(J296-($K$264-($K$264*$D$29%)),0)</f>
        <v>17020</v>
      </c>
      <c r="K297" s="159">
        <f t="shared" si="82"/>
        <v>14712</v>
      </c>
      <c r="L297" s="161">
        <f t="shared" ref="L297:L328" si="93">ROUND(L296-($I$264-($I$264*$E$29%)),0)</f>
        <v>17476</v>
      </c>
      <c r="M297" s="127"/>
      <c r="N297" s="145">
        <v>34</v>
      </c>
      <c r="O297" s="159">
        <f t="shared" si="84"/>
        <v>14712</v>
      </c>
      <c r="P297" s="160">
        <f t="shared" ref="P297:P328" si="94">ROUND(P296-($Q$264-($Q$264*$E$29%)),0)</f>
        <v>17374</v>
      </c>
      <c r="Q297" s="159">
        <f t="shared" si="86"/>
        <v>14712</v>
      </c>
      <c r="R297" s="161">
        <f t="shared" ref="R297:R328" si="95">ROUND(R296-($O$264-($O$264*$E$29%)),0)</f>
        <v>17374</v>
      </c>
      <c r="S297" s="127"/>
      <c r="T297" s="127"/>
      <c r="U297" s="128"/>
      <c r="V297" s="127"/>
      <c r="W297" s="122"/>
      <c r="X297" s="122"/>
      <c r="Y297" s="122"/>
      <c r="Z297" s="122"/>
      <c r="AA297" s="56"/>
      <c r="AB297" s="56"/>
      <c r="AC297" s="56"/>
      <c r="AD297" s="56"/>
    </row>
    <row r="298" spans="2:30">
      <c r="B298" s="145">
        <v>35</v>
      </c>
      <c r="C298" s="159">
        <f t="shared" si="88"/>
        <v>15000</v>
      </c>
      <c r="D298" s="160">
        <f t="shared" si="90"/>
        <v>16805</v>
      </c>
      <c r="E298" s="159">
        <f t="shared" si="89"/>
        <v>15000</v>
      </c>
      <c r="F298" s="161">
        <f t="shared" si="91"/>
        <v>16805</v>
      </c>
      <c r="G298" s="128"/>
      <c r="H298" s="145">
        <v>35</v>
      </c>
      <c r="I298" s="159">
        <f t="shared" si="80"/>
        <v>15000</v>
      </c>
      <c r="J298" s="160">
        <f t="shared" si="92"/>
        <v>16700</v>
      </c>
      <c r="K298" s="159">
        <f t="shared" si="82"/>
        <v>15144</v>
      </c>
      <c r="L298" s="161">
        <f t="shared" si="93"/>
        <v>17165</v>
      </c>
      <c r="M298" s="127"/>
      <c r="N298" s="145">
        <v>35</v>
      </c>
      <c r="O298" s="159">
        <f t="shared" si="84"/>
        <v>15144</v>
      </c>
      <c r="P298" s="160">
        <f t="shared" si="94"/>
        <v>17060</v>
      </c>
      <c r="Q298" s="159">
        <f t="shared" si="86"/>
        <v>15144</v>
      </c>
      <c r="R298" s="161">
        <f t="shared" si="95"/>
        <v>17060</v>
      </c>
      <c r="S298" s="127"/>
      <c r="T298" s="127"/>
      <c r="U298" s="128"/>
      <c r="V298" s="127"/>
      <c r="W298" s="122"/>
      <c r="X298" s="122"/>
      <c r="Y298" s="122"/>
      <c r="Z298" s="122"/>
      <c r="AA298" s="56"/>
      <c r="AB298" s="56"/>
      <c r="AC298" s="56"/>
      <c r="AD298" s="56"/>
    </row>
    <row r="299" spans="2:30">
      <c r="B299" s="145">
        <v>36</v>
      </c>
      <c r="C299" s="159">
        <f t="shared" si="88"/>
        <v>15429</v>
      </c>
      <c r="D299" s="160">
        <f t="shared" si="90"/>
        <v>16488</v>
      </c>
      <c r="E299" s="159">
        <f t="shared" si="89"/>
        <v>15429</v>
      </c>
      <c r="F299" s="161">
        <f t="shared" si="91"/>
        <v>16488</v>
      </c>
      <c r="G299" s="128"/>
      <c r="H299" s="145">
        <v>36</v>
      </c>
      <c r="I299" s="159">
        <f t="shared" si="80"/>
        <v>15429</v>
      </c>
      <c r="J299" s="160">
        <f t="shared" si="92"/>
        <v>16380</v>
      </c>
      <c r="K299" s="159">
        <f t="shared" si="82"/>
        <v>15577</v>
      </c>
      <c r="L299" s="161">
        <f t="shared" si="93"/>
        <v>16854</v>
      </c>
      <c r="M299" s="127"/>
      <c r="N299" s="145">
        <v>36</v>
      </c>
      <c r="O299" s="159">
        <f t="shared" si="84"/>
        <v>15577</v>
      </c>
      <c r="P299" s="160">
        <f t="shared" si="94"/>
        <v>16746</v>
      </c>
      <c r="Q299" s="159">
        <f t="shared" si="86"/>
        <v>15577</v>
      </c>
      <c r="R299" s="161">
        <f t="shared" si="95"/>
        <v>16746</v>
      </c>
      <c r="S299" s="127"/>
      <c r="T299" s="127"/>
      <c r="U299" s="128"/>
      <c r="V299" s="127"/>
      <c r="W299" s="122"/>
      <c r="X299" s="122"/>
      <c r="Y299" s="122"/>
      <c r="Z299" s="122"/>
      <c r="AA299" s="56"/>
      <c r="AB299" s="56"/>
      <c r="AC299" s="56"/>
      <c r="AD299" s="56"/>
    </row>
    <row r="300" spans="2:30">
      <c r="B300" s="145">
        <v>37</v>
      </c>
      <c r="C300" s="159">
        <f t="shared" si="88"/>
        <v>15857</v>
      </c>
      <c r="D300" s="160">
        <f t="shared" si="90"/>
        <v>16171</v>
      </c>
      <c r="E300" s="159">
        <f t="shared" si="89"/>
        <v>15857</v>
      </c>
      <c r="F300" s="161">
        <f t="shared" si="91"/>
        <v>16171</v>
      </c>
      <c r="G300" s="128"/>
      <c r="H300" s="145">
        <v>37</v>
      </c>
      <c r="I300" s="159">
        <f t="shared" si="80"/>
        <v>15857</v>
      </c>
      <c r="J300" s="160">
        <f t="shared" si="92"/>
        <v>16060</v>
      </c>
      <c r="K300" s="159">
        <f t="shared" si="82"/>
        <v>16010</v>
      </c>
      <c r="L300" s="161">
        <f t="shared" si="93"/>
        <v>16543</v>
      </c>
      <c r="M300" s="127"/>
      <c r="N300" s="145">
        <v>37</v>
      </c>
      <c r="O300" s="159">
        <f t="shared" si="84"/>
        <v>16010</v>
      </c>
      <c r="P300" s="160">
        <f t="shared" si="94"/>
        <v>16432</v>
      </c>
      <c r="Q300" s="159">
        <f t="shared" si="86"/>
        <v>16010</v>
      </c>
      <c r="R300" s="161">
        <f t="shared" si="95"/>
        <v>16432</v>
      </c>
      <c r="S300" s="127"/>
      <c r="T300" s="127"/>
      <c r="U300" s="128"/>
      <c r="V300" s="127"/>
      <c r="W300" s="122"/>
      <c r="X300" s="122"/>
      <c r="Y300" s="122"/>
      <c r="Z300" s="122"/>
      <c r="AA300" s="56"/>
      <c r="AB300" s="56"/>
      <c r="AC300" s="56"/>
      <c r="AD300" s="56"/>
    </row>
    <row r="301" spans="2:30">
      <c r="B301" s="145">
        <v>38</v>
      </c>
      <c r="C301" s="159">
        <f t="shared" si="88"/>
        <v>16286</v>
      </c>
      <c r="D301" s="160">
        <f t="shared" si="90"/>
        <v>15854</v>
      </c>
      <c r="E301" s="159">
        <f t="shared" si="89"/>
        <v>16286</v>
      </c>
      <c r="F301" s="161">
        <f t="shared" si="91"/>
        <v>15854</v>
      </c>
      <c r="G301" s="128"/>
      <c r="H301" s="145">
        <v>38</v>
      </c>
      <c r="I301" s="159">
        <f t="shared" si="80"/>
        <v>16286</v>
      </c>
      <c r="J301" s="160">
        <f t="shared" si="92"/>
        <v>15740</v>
      </c>
      <c r="K301" s="159">
        <f t="shared" si="82"/>
        <v>16442</v>
      </c>
      <c r="L301" s="161">
        <f t="shared" si="93"/>
        <v>16232</v>
      </c>
      <c r="M301" s="127"/>
      <c r="N301" s="145">
        <v>38</v>
      </c>
      <c r="O301" s="159">
        <f t="shared" si="84"/>
        <v>16442</v>
      </c>
      <c r="P301" s="160">
        <f t="shared" si="94"/>
        <v>16118</v>
      </c>
      <c r="Q301" s="159">
        <f t="shared" si="86"/>
        <v>16442</v>
      </c>
      <c r="R301" s="161">
        <f t="shared" si="95"/>
        <v>16118</v>
      </c>
      <c r="S301" s="127"/>
      <c r="T301" s="127"/>
      <c r="U301" s="128"/>
      <c r="V301" s="127"/>
      <c r="W301" s="122"/>
      <c r="X301" s="122"/>
      <c r="Y301" s="122"/>
      <c r="Z301" s="122"/>
      <c r="AA301" s="56"/>
      <c r="AB301" s="56"/>
      <c r="AC301" s="56"/>
      <c r="AD301" s="56"/>
    </row>
    <row r="302" spans="2:30">
      <c r="B302" s="145">
        <v>39</v>
      </c>
      <c r="C302" s="159">
        <f t="shared" si="88"/>
        <v>16714</v>
      </c>
      <c r="D302" s="160">
        <f t="shared" si="90"/>
        <v>15537</v>
      </c>
      <c r="E302" s="159">
        <f t="shared" si="89"/>
        <v>16714</v>
      </c>
      <c r="F302" s="161">
        <f t="shared" si="91"/>
        <v>15537</v>
      </c>
      <c r="G302" s="128"/>
      <c r="H302" s="145">
        <v>39</v>
      </c>
      <c r="I302" s="159">
        <f t="shared" si="80"/>
        <v>16714</v>
      </c>
      <c r="J302" s="160">
        <f t="shared" si="92"/>
        <v>15420</v>
      </c>
      <c r="K302" s="159">
        <f t="shared" si="82"/>
        <v>16875</v>
      </c>
      <c r="L302" s="161">
        <f t="shared" si="93"/>
        <v>15921</v>
      </c>
      <c r="M302" s="127"/>
      <c r="N302" s="145">
        <v>39</v>
      </c>
      <c r="O302" s="159">
        <f t="shared" si="84"/>
        <v>16875</v>
      </c>
      <c r="P302" s="160">
        <f t="shared" si="94"/>
        <v>15804</v>
      </c>
      <c r="Q302" s="159">
        <f t="shared" si="86"/>
        <v>16875</v>
      </c>
      <c r="R302" s="161">
        <f t="shared" si="95"/>
        <v>15804</v>
      </c>
      <c r="S302" s="127"/>
      <c r="T302" s="127"/>
      <c r="U302" s="128"/>
      <c r="V302" s="127"/>
      <c r="W302" s="122"/>
      <c r="X302" s="122"/>
      <c r="Y302" s="122"/>
      <c r="Z302" s="122"/>
      <c r="AA302" s="56"/>
      <c r="AB302" s="56"/>
      <c r="AC302" s="56"/>
      <c r="AD302" s="56"/>
    </row>
    <row r="303" spans="2:30">
      <c r="B303" s="146">
        <v>40</v>
      </c>
      <c r="C303" s="162">
        <f t="shared" si="88"/>
        <v>17143</v>
      </c>
      <c r="D303" s="163">
        <f t="shared" si="90"/>
        <v>15220</v>
      </c>
      <c r="E303" s="162">
        <f t="shared" si="89"/>
        <v>17143</v>
      </c>
      <c r="F303" s="164">
        <f t="shared" si="91"/>
        <v>15220</v>
      </c>
      <c r="G303" s="128"/>
      <c r="H303" s="146">
        <v>40</v>
      </c>
      <c r="I303" s="162">
        <f t="shared" si="80"/>
        <v>17143</v>
      </c>
      <c r="J303" s="163">
        <f t="shared" si="92"/>
        <v>15100</v>
      </c>
      <c r="K303" s="162">
        <f t="shared" si="82"/>
        <v>17308</v>
      </c>
      <c r="L303" s="164">
        <f t="shared" si="93"/>
        <v>15610</v>
      </c>
      <c r="M303" s="127"/>
      <c r="N303" s="146">
        <v>40</v>
      </c>
      <c r="O303" s="162">
        <f t="shared" si="84"/>
        <v>17308</v>
      </c>
      <c r="P303" s="163">
        <f t="shared" si="94"/>
        <v>15490</v>
      </c>
      <c r="Q303" s="162">
        <f t="shared" si="86"/>
        <v>17308</v>
      </c>
      <c r="R303" s="164">
        <f t="shared" si="95"/>
        <v>15490</v>
      </c>
      <c r="S303" s="127"/>
      <c r="T303" s="127"/>
      <c r="U303" s="128"/>
      <c r="V303" s="127"/>
      <c r="W303" s="122"/>
      <c r="X303" s="122"/>
      <c r="Y303" s="122"/>
      <c r="Z303" s="122"/>
      <c r="AA303" s="56"/>
      <c r="AB303" s="56"/>
      <c r="AC303" s="56"/>
      <c r="AD303" s="56"/>
    </row>
    <row r="304" spans="2:30">
      <c r="B304" s="145">
        <v>41</v>
      </c>
      <c r="C304" s="159">
        <f t="shared" si="88"/>
        <v>17571</v>
      </c>
      <c r="D304" s="160">
        <f t="shared" si="90"/>
        <v>14903</v>
      </c>
      <c r="E304" s="159">
        <f t="shared" si="89"/>
        <v>17571</v>
      </c>
      <c r="F304" s="161">
        <f t="shared" si="91"/>
        <v>14903</v>
      </c>
      <c r="G304" s="128"/>
      <c r="H304" s="145">
        <v>41</v>
      </c>
      <c r="I304" s="159">
        <f t="shared" si="80"/>
        <v>17571</v>
      </c>
      <c r="J304" s="160">
        <f t="shared" si="92"/>
        <v>14780</v>
      </c>
      <c r="K304" s="159">
        <f t="shared" si="82"/>
        <v>17740</v>
      </c>
      <c r="L304" s="161">
        <f t="shared" si="93"/>
        <v>15299</v>
      </c>
      <c r="M304" s="127"/>
      <c r="N304" s="145">
        <v>41</v>
      </c>
      <c r="O304" s="159">
        <f t="shared" si="84"/>
        <v>17740</v>
      </c>
      <c r="P304" s="160">
        <f t="shared" si="94"/>
        <v>15176</v>
      </c>
      <c r="Q304" s="159">
        <f t="shared" si="86"/>
        <v>17740</v>
      </c>
      <c r="R304" s="161">
        <f t="shared" si="95"/>
        <v>15176</v>
      </c>
      <c r="S304" s="127"/>
      <c r="T304" s="127"/>
      <c r="U304" s="128"/>
      <c r="V304" s="127"/>
      <c r="W304" s="122"/>
      <c r="X304" s="122"/>
      <c r="Y304" s="122"/>
      <c r="Z304" s="122"/>
      <c r="AA304" s="56"/>
      <c r="AB304" s="56"/>
      <c r="AC304" s="56"/>
      <c r="AD304" s="56"/>
    </row>
    <row r="305" spans="2:30">
      <c r="B305" s="145">
        <v>42</v>
      </c>
      <c r="C305" s="159">
        <f t="shared" si="88"/>
        <v>18000</v>
      </c>
      <c r="D305" s="160">
        <f t="shared" si="90"/>
        <v>14586</v>
      </c>
      <c r="E305" s="159">
        <f t="shared" si="89"/>
        <v>18000</v>
      </c>
      <c r="F305" s="161">
        <f t="shared" si="91"/>
        <v>14586</v>
      </c>
      <c r="G305" s="128"/>
      <c r="H305" s="145">
        <v>42</v>
      </c>
      <c r="I305" s="159">
        <f t="shared" si="80"/>
        <v>18000</v>
      </c>
      <c r="J305" s="160">
        <f t="shared" si="92"/>
        <v>14460</v>
      </c>
      <c r="K305" s="159">
        <f t="shared" si="82"/>
        <v>18173</v>
      </c>
      <c r="L305" s="161">
        <f t="shared" si="93"/>
        <v>14988</v>
      </c>
      <c r="M305" s="127"/>
      <c r="N305" s="145">
        <v>42</v>
      </c>
      <c r="O305" s="159">
        <f t="shared" si="84"/>
        <v>18173</v>
      </c>
      <c r="P305" s="160">
        <f t="shared" si="94"/>
        <v>14862</v>
      </c>
      <c r="Q305" s="159">
        <f t="shared" si="86"/>
        <v>18173</v>
      </c>
      <c r="R305" s="161">
        <f t="shared" si="95"/>
        <v>14862</v>
      </c>
      <c r="S305" s="127"/>
      <c r="T305" s="127"/>
      <c r="U305" s="128"/>
      <c r="V305" s="127"/>
      <c r="W305" s="122"/>
      <c r="X305" s="122"/>
      <c r="Y305" s="122"/>
      <c r="Z305" s="122"/>
      <c r="AA305" s="56"/>
      <c r="AB305" s="56"/>
      <c r="AC305" s="56"/>
      <c r="AD305" s="56"/>
    </row>
    <row r="306" spans="2:30">
      <c r="B306" s="145">
        <v>43</v>
      </c>
      <c r="C306" s="159">
        <f t="shared" si="88"/>
        <v>18429</v>
      </c>
      <c r="D306" s="160">
        <f t="shared" si="90"/>
        <v>14269</v>
      </c>
      <c r="E306" s="159">
        <f t="shared" si="89"/>
        <v>18429</v>
      </c>
      <c r="F306" s="161">
        <f t="shared" si="91"/>
        <v>14269</v>
      </c>
      <c r="G306" s="128"/>
      <c r="H306" s="145">
        <v>43</v>
      </c>
      <c r="I306" s="159">
        <f t="shared" si="80"/>
        <v>18429</v>
      </c>
      <c r="J306" s="160">
        <f t="shared" si="92"/>
        <v>14140</v>
      </c>
      <c r="K306" s="159">
        <f t="shared" si="82"/>
        <v>18606</v>
      </c>
      <c r="L306" s="161">
        <f t="shared" si="93"/>
        <v>14677</v>
      </c>
      <c r="M306" s="127"/>
      <c r="N306" s="145">
        <v>43</v>
      </c>
      <c r="O306" s="159">
        <f t="shared" si="84"/>
        <v>18606</v>
      </c>
      <c r="P306" s="160">
        <f t="shared" si="94"/>
        <v>14548</v>
      </c>
      <c r="Q306" s="159">
        <f t="shared" si="86"/>
        <v>18606</v>
      </c>
      <c r="R306" s="161">
        <f t="shared" si="95"/>
        <v>14548</v>
      </c>
      <c r="S306" s="127"/>
      <c r="T306" s="127"/>
      <c r="U306" s="128"/>
      <c r="V306" s="127"/>
      <c r="W306" s="122"/>
      <c r="X306" s="122"/>
      <c r="Y306" s="122"/>
      <c r="Z306" s="122"/>
      <c r="AA306" s="56"/>
      <c r="AB306" s="56"/>
      <c r="AC306" s="56"/>
      <c r="AD306" s="56"/>
    </row>
    <row r="307" spans="2:30">
      <c r="B307" s="145">
        <v>44</v>
      </c>
      <c r="C307" s="159">
        <f t="shared" si="88"/>
        <v>18857</v>
      </c>
      <c r="D307" s="160">
        <f t="shared" si="90"/>
        <v>13952</v>
      </c>
      <c r="E307" s="159">
        <f t="shared" si="89"/>
        <v>18857</v>
      </c>
      <c r="F307" s="161">
        <f t="shared" si="91"/>
        <v>13952</v>
      </c>
      <c r="G307" s="128"/>
      <c r="H307" s="145">
        <v>44</v>
      </c>
      <c r="I307" s="159">
        <f t="shared" si="80"/>
        <v>18857</v>
      </c>
      <c r="J307" s="160">
        <f t="shared" si="92"/>
        <v>13820</v>
      </c>
      <c r="K307" s="159">
        <f t="shared" si="82"/>
        <v>19038</v>
      </c>
      <c r="L307" s="161">
        <f t="shared" si="93"/>
        <v>14366</v>
      </c>
      <c r="M307" s="127"/>
      <c r="N307" s="145">
        <v>44</v>
      </c>
      <c r="O307" s="159">
        <f t="shared" si="84"/>
        <v>19038</v>
      </c>
      <c r="P307" s="160">
        <f t="shared" si="94"/>
        <v>14234</v>
      </c>
      <c r="Q307" s="159">
        <f t="shared" si="86"/>
        <v>19038</v>
      </c>
      <c r="R307" s="161">
        <f t="shared" si="95"/>
        <v>14234</v>
      </c>
      <c r="S307" s="127"/>
      <c r="T307" s="127"/>
      <c r="U307" s="128"/>
      <c r="V307" s="127"/>
      <c r="W307" s="122"/>
      <c r="X307" s="122"/>
      <c r="Y307" s="122"/>
      <c r="Z307" s="122"/>
      <c r="AA307" s="56"/>
      <c r="AB307" s="56"/>
      <c r="AC307" s="56"/>
      <c r="AD307" s="56"/>
    </row>
    <row r="308" spans="2:30">
      <c r="B308" s="145">
        <v>45</v>
      </c>
      <c r="C308" s="159">
        <f t="shared" si="88"/>
        <v>19286</v>
      </c>
      <c r="D308" s="160">
        <f t="shared" si="90"/>
        <v>13635</v>
      </c>
      <c r="E308" s="159">
        <f t="shared" si="89"/>
        <v>19286</v>
      </c>
      <c r="F308" s="161">
        <f t="shared" si="91"/>
        <v>13635</v>
      </c>
      <c r="G308" s="128"/>
      <c r="H308" s="145">
        <v>45</v>
      </c>
      <c r="I308" s="159">
        <f t="shared" si="80"/>
        <v>19286</v>
      </c>
      <c r="J308" s="160">
        <f t="shared" si="92"/>
        <v>13500</v>
      </c>
      <c r="K308" s="159">
        <f t="shared" si="82"/>
        <v>19471</v>
      </c>
      <c r="L308" s="161">
        <f t="shared" si="93"/>
        <v>14055</v>
      </c>
      <c r="M308" s="127"/>
      <c r="N308" s="145">
        <v>45</v>
      </c>
      <c r="O308" s="159">
        <f t="shared" si="84"/>
        <v>19471</v>
      </c>
      <c r="P308" s="160">
        <f t="shared" si="94"/>
        <v>13920</v>
      </c>
      <c r="Q308" s="159">
        <f t="shared" si="86"/>
        <v>19471</v>
      </c>
      <c r="R308" s="161">
        <f t="shared" si="95"/>
        <v>13920</v>
      </c>
      <c r="S308" s="127"/>
      <c r="T308" s="127"/>
      <c r="U308" s="128"/>
      <c r="V308" s="127"/>
      <c r="W308" s="122"/>
      <c r="X308" s="122"/>
      <c r="Y308" s="122"/>
      <c r="Z308" s="122"/>
      <c r="AA308" s="56"/>
      <c r="AB308" s="56"/>
      <c r="AC308" s="56"/>
      <c r="AD308" s="56"/>
    </row>
    <row r="309" spans="2:30">
      <c r="B309" s="145">
        <v>46</v>
      </c>
      <c r="C309" s="159">
        <f t="shared" si="88"/>
        <v>19714</v>
      </c>
      <c r="D309" s="160">
        <f t="shared" si="90"/>
        <v>13318</v>
      </c>
      <c r="E309" s="159">
        <f t="shared" si="89"/>
        <v>19714</v>
      </c>
      <c r="F309" s="161">
        <f t="shared" si="91"/>
        <v>13318</v>
      </c>
      <c r="G309" s="128"/>
      <c r="H309" s="145">
        <v>46</v>
      </c>
      <c r="I309" s="159">
        <f t="shared" si="80"/>
        <v>19714</v>
      </c>
      <c r="J309" s="160">
        <f t="shared" si="92"/>
        <v>13180</v>
      </c>
      <c r="K309" s="159">
        <f t="shared" si="82"/>
        <v>19904</v>
      </c>
      <c r="L309" s="161">
        <f t="shared" si="93"/>
        <v>13744</v>
      </c>
      <c r="M309" s="127"/>
      <c r="N309" s="145">
        <v>46</v>
      </c>
      <c r="O309" s="159">
        <f t="shared" si="84"/>
        <v>19904</v>
      </c>
      <c r="P309" s="160">
        <f t="shared" si="94"/>
        <v>13606</v>
      </c>
      <c r="Q309" s="159">
        <f t="shared" si="86"/>
        <v>19904</v>
      </c>
      <c r="R309" s="161">
        <f t="shared" si="95"/>
        <v>13606</v>
      </c>
      <c r="S309" s="127"/>
      <c r="T309" s="127"/>
      <c r="U309" s="128"/>
      <c r="V309" s="127"/>
      <c r="W309" s="122"/>
      <c r="X309" s="122"/>
      <c r="Y309" s="122"/>
      <c r="Z309" s="122"/>
      <c r="AA309" s="56"/>
      <c r="AB309" s="56"/>
      <c r="AC309" s="56"/>
      <c r="AD309" s="56"/>
    </row>
    <row r="310" spans="2:30">
      <c r="B310" s="145">
        <v>47</v>
      </c>
      <c r="C310" s="159">
        <f t="shared" si="88"/>
        <v>20143</v>
      </c>
      <c r="D310" s="160">
        <f t="shared" si="90"/>
        <v>13001</v>
      </c>
      <c r="E310" s="159">
        <f t="shared" si="89"/>
        <v>20143</v>
      </c>
      <c r="F310" s="161">
        <f t="shared" si="91"/>
        <v>13001</v>
      </c>
      <c r="G310" s="128"/>
      <c r="H310" s="145">
        <v>47</v>
      </c>
      <c r="I310" s="159">
        <f t="shared" si="80"/>
        <v>20143</v>
      </c>
      <c r="J310" s="160">
        <f t="shared" si="92"/>
        <v>12860</v>
      </c>
      <c r="K310" s="159">
        <f t="shared" si="82"/>
        <v>20337</v>
      </c>
      <c r="L310" s="161">
        <f t="shared" si="93"/>
        <v>13433</v>
      </c>
      <c r="M310" s="127"/>
      <c r="N310" s="145">
        <v>47</v>
      </c>
      <c r="O310" s="159">
        <f t="shared" si="84"/>
        <v>20337</v>
      </c>
      <c r="P310" s="160">
        <f t="shared" si="94"/>
        <v>13292</v>
      </c>
      <c r="Q310" s="159">
        <f t="shared" si="86"/>
        <v>20337</v>
      </c>
      <c r="R310" s="161">
        <f t="shared" si="95"/>
        <v>13292</v>
      </c>
      <c r="S310" s="127"/>
      <c r="T310" s="127"/>
      <c r="U310" s="128"/>
      <c r="V310" s="127"/>
      <c r="W310" s="122"/>
      <c r="X310" s="122"/>
      <c r="Y310" s="122"/>
      <c r="Z310" s="122"/>
      <c r="AA310" s="56"/>
      <c r="AB310" s="56"/>
      <c r="AC310" s="56"/>
      <c r="AD310" s="56"/>
    </row>
    <row r="311" spans="2:30">
      <c r="B311" s="145">
        <v>48</v>
      </c>
      <c r="C311" s="159">
        <f t="shared" si="88"/>
        <v>20571</v>
      </c>
      <c r="D311" s="160">
        <f t="shared" si="90"/>
        <v>12684</v>
      </c>
      <c r="E311" s="159">
        <f t="shared" si="89"/>
        <v>20571</v>
      </c>
      <c r="F311" s="161">
        <f t="shared" si="91"/>
        <v>12684</v>
      </c>
      <c r="G311" s="128"/>
      <c r="H311" s="145">
        <v>48</v>
      </c>
      <c r="I311" s="159">
        <f t="shared" si="80"/>
        <v>20571</v>
      </c>
      <c r="J311" s="160">
        <f t="shared" si="92"/>
        <v>12540</v>
      </c>
      <c r="K311" s="159">
        <f t="shared" si="82"/>
        <v>20769</v>
      </c>
      <c r="L311" s="161">
        <f t="shared" si="93"/>
        <v>13122</v>
      </c>
      <c r="M311" s="127"/>
      <c r="N311" s="145">
        <v>48</v>
      </c>
      <c r="O311" s="159">
        <f t="shared" si="84"/>
        <v>20769</v>
      </c>
      <c r="P311" s="160">
        <f t="shared" si="94"/>
        <v>12978</v>
      </c>
      <c r="Q311" s="159">
        <f t="shared" si="86"/>
        <v>20769</v>
      </c>
      <c r="R311" s="161">
        <f t="shared" si="95"/>
        <v>12978</v>
      </c>
      <c r="S311" s="127"/>
      <c r="T311" s="127"/>
      <c r="U311" s="128"/>
      <c r="V311" s="127"/>
      <c r="W311" s="122"/>
      <c r="X311" s="122"/>
      <c r="Y311" s="122"/>
      <c r="Z311" s="122"/>
      <c r="AA311" s="56"/>
      <c r="AB311" s="56"/>
      <c r="AC311" s="56"/>
      <c r="AD311" s="56"/>
    </row>
    <row r="312" spans="2:30">
      <c r="B312" s="145">
        <v>49</v>
      </c>
      <c r="C312" s="159">
        <f t="shared" si="88"/>
        <v>21000</v>
      </c>
      <c r="D312" s="160">
        <f t="shared" si="90"/>
        <v>12367</v>
      </c>
      <c r="E312" s="159">
        <f t="shared" si="89"/>
        <v>21000</v>
      </c>
      <c r="F312" s="161">
        <f t="shared" si="91"/>
        <v>12367</v>
      </c>
      <c r="G312" s="128"/>
      <c r="H312" s="145">
        <v>49</v>
      </c>
      <c r="I312" s="159">
        <f t="shared" si="80"/>
        <v>21000</v>
      </c>
      <c r="J312" s="160">
        <f t="shared" si="92"/>
        <v>12220</v>
      </c>
      <c r="K312" s="159">
        <f t="shared" si="82"/>
        <v>21202</v>
      </c>
      <c r="L312" s="161">
        <f t="shared" si="93"/>
        <v>12811</v>
      </c>
      <c r="M312" s="127"/>
      <c r="N312" s="145">
        <v>49</v>
      </c>
      <c r="O312" s="159">
        <f t="shared" si="84"/>
        <v>21202</v>
      </c>
      <c r="P312" s="160">
        <f t="shared" si="94"/>
        <v>12664</v>
      </c>
      <c r="Q312" s="159">
        <f t="shared" si="86"/>
        <v>21202</v>
      </c>
      <c r="R312" s="161">
        <f t="shared" si="95"/>
        <v>12664</v>
      </c>
      <c r="S312" s="127"/>
      <c r="T312" s="127"/>
      <c r="U312" s="128"/>
      <c r="V312" s="127"/>
      <c r="W312" s="122"/>
      <c r="X312" s="122"/>
      <c r="Y312" s="122"/>
      <c r="Z312" s="122"/>
      <c r="AA312" s="56"/>
      <c r="AB312" s="56"/>
      <c r="AC312" s="56"/>
      <c r="AD312" s="56"/>
    </row>
    <row r="313" spans="2:30">
      <c r="B313" s="146">
        <v>50</v>
      </c>
      <c r="C313" s="162">
        <f t="shared" si="88"/>
        <v>21429</v>
      </c>
      <c r="D313" s="163">
        <f t="shared" si="90"/>
        <v>12050</v>
      </c>
      <c r="E313" s="162">
        <f t="shared" si="89"/>
        <v>21429</v>
      </c>
      <c r="F313" s="164">
        <f t="shared" si="91"/>
        <v>12050</v>
      </c>
      <c r="G313" s="128"/>
      <c r="H313" s="146">
        <v>50</v>
      </c>
      <c r="I313" s="162">
        <f t="shared" si="80"/>
        <v>21429</v>
      </c>
      <c r="J313" s="163">
        <f t="shared" si="92"/>
        <v>11900</v>
      </c>
      <c r="K313" s="162">
        <f t="shared" si="82"/>
        <v>21635</v>
      </c>
      <c r="L313" s="164">
        <f t="shared" si="93"/>
        <v>12500</v>
      </c>
      <c r="M313" s="127"/>
      <c r="N313" s="146">
        <v>50</v>
      </c>
      <c r="O313" s="162">
        <f t="shared" si="84"/>
        <v>21635</v>
      </c>
      <c r="P313" s="163">
        <f t="shared" si="94"/>
        <v>12350</v>
      </c>
      <c r="Q313" s="162">
        <f t="shared" si="86"/>
        <v>21635</v>
      </c>
      <c r="R313" s="164">
        <f t="shared" si="95"/>
        <v>12350</v>
      </c>
      <c r="S313" s="127"/>
      <c r="T313" s="127"/>
      <c r="U313" s="128"/>
      <c r="V313" s="127"/>
      <c r="W313" s="122"/>
      <c r="X313" s="122"/>
      <c r="Y313" s="122"/>
      <c r="Z313" s="122"/>
      <c r="AA313" s="56"/>
      <c r="AB313" s="56"/>
      <c r="AC313" s="56"/>
      <c r="AD313" s="56"/>
    </row>
    <row r="314" spans="2:30">
      <c r="B314" s="145">
        <v>51</v>
      </c>
      <c r="C314" s="159">
        <f t="shared" si="88"/>
        <v>21857</v>
      </c>
      <c r="D314" s="160">
        <f t="shared" si="90"/>
        <v>11733</v>
      </c>
      <c r="E314" s="159">
        <f t="shared" si="89"/>
        <v>21857</v>
      </c>
      <c r="F314" s="161">
        <f t="shared" si="91"/>
        <v>11733</v>
      </c>
      <c r="G314" s="128"/>
      <c r="H314" s="145">
        <v>51</v>
      </c>
      <c r="I314" s="159">
        <f t="shared" si="80"/>
        <v>21857</v>
      </c>
      <c r="J314" s="160">
        <f t="shared" si="92"/>
        <v>11580</v>
      </c>
      <c r="K314" s="159">
        <f t="shared" si="82"/>
        <v>22067</v>
      </c>
      <c r="L314" s="161">
        <f t="shared" si="93"/>
        <v>12189</v>
      </c>
      <c r="M314" s="127"/>
      <c r="N314" s="145">
        <v>51</v>
      </c>
      <c r="O314" s="159">
        <f t="shared" si="84"/>
        <v>22067</v>
      </c>
      <c r="P314" s="160">
        <f t="shared" si="94"/>
        <v>12036</v>
      </c>
      <c r="Q314" s="159">
        <f t="shared" si="86"/>
        <v>22067</v>
      </c>
      <c r="R314" s="161">
        <f t="shared" si="95"/>
        <v>12036</v>
      </c>
      <c r="S314" s="127"/>
      <c r="T314" s="127"/>
      <c r="U314" s="128"/>
      <c r="V314" s="127"/>
      <c r="W314" s="122"/>
      <c r="X314" s="122"/>
      <c r="Y314" s="122"/>
      <c r="Z314" s="122"/>
      <c r="AA314" s="56"/>
      <c r="AB314" s="56"/>
      <c r="AC314" s="56"/>
      <c r="AD314" s="56"/>
    </row>
    <row r="315" spans="2:30">
      <c r="B315" s="145">
        <v>52</v>
      </c>
      <c r="C315" s="159">
        <f t="shared" si="88"/>
        <v>22286</v>
      </c>
      <c r="D315" s="160">
        <f t="shared" si="90"/>
        <v>11416</v>
      </c>
      <c r="E315" s="159">
        <f t="shared" si="89"/>
        <v>22286</v>
      </c>
      <c r="F315" s="161">
        <f t="shared" si="91"/>
        <v>11416</v>
      </c>
      <c r="G315" s="128"/>
      <c r="H315" s="145">
        <v>52</v>
      </c>
      <c r="I315" s="159">
        <f t="shared" si="80"/>
        <v>22286</v>
      </c>
      <c r="J315" s="160">
        <f t="shared" si="92"/>
        <v>11260</v>
      </c>
      <c r="K315" s="159">
        <f t="shared" si="82"/>
        <v>22500</v>
      </c>
      <c r="L315" s="161">
        <f t="shared" si="93"/>
        <v>11878</v>
      </c>
      <c r="M315" s="127"/>
      <c r="N315" s="145">
        <v>52</v>
      </c>
      <c r="O315" s="159">
        <f t="shared" si="84"/>
        <v>22500</v>
      </c>
      <c r="P315" s="160">
        <f t="shared" si="94"/>
        <v>11722</v>
      </c>
      <c r="Q315" s="159">
        <f t="shared" si="86"/>
        <v>22500</v>
      </c>
      <c r="R315" s="161">
        <f t="shared" si="95"/>
        <v>11722</v>
      </c>
      <c r="S315" s="127"/>
      <c r="T315" s="127"/>
      <c r="U315" s="128"/>
      <c r="V315" s="127"/>
      <c r="W315" s="122"/>
      <c r="X315" s="122"/>
      <c r="Y315" s="122"/>
      <c r="Z315" s="122"/>
      <c r="AA315" s="56"/>
      <c r="AB315" s="56"/>
      <c r="AC315" s="56"/>
      <c r="AD315" s="56"/>
    </row>
    <row r="316" spans="2:30">
      <c r="B316" s="145">
        <v>53</v>
      </c>
      <c r="C316" s="159">
        <f t="shared" si="88"/>
        <v>22714</v>
      </c>
      <c r="D316" s="160">
        <f t="shared" si="90"/>
        <v>11099</v>
      </c>
      <c r="E316" s="159">
        <f t="shared" si="89"/>
        <v>22714</v>
      </c>
      <c r="F316" s="161">
        <f t="shared" si="91"/>
        <v>11099</v>
      </c>
      <c r="G316" s="128"/>
      <c r="H316" s="145">
        <v>53</v>
      </c>
      <c r="I316" s="159">
        <f t="shared" si="80"/>
        <v>22714</v>
      </c>
      <c r="J316" s="160">
        <f t="shared" si="92"/>
        <v>10940</v>
      </c>
      <c r="K316" s="159">
        <f t="shared" si="82"/>
        <v>22933</v>
      </c>
      <c r="L316" s="161">
        <f t="shared" si="93"/>
        <v>11567</v>
      </c>
      <c r="M316" s="127"/>
      <c r="N316" s="145">
        <v>53</v>
      </c>
      <c r="O316" s="159">
        <f t="shared" si="84"/>
        <v>22933</v>
      </c>
      <c r="P316" s="160">
        <f t="shared" si="94"/>
        <v>11408</v>
      </c>
      <c r="Q316" s="159">
        <f t="shared" si="86"/>
        <v>22933</v>
      </c>
      <c r="R316" s="161">
        <f t="shared" si="95"/>
        <v>11408</v>
      </c>
      <c r="S316" s="127"/>
      <c r="T316" s="127"/>
      <c r="U316" s="128"/>
      <c r="V316" s="127"/>
      <c r="W316" s="122"/>
      <c r="X316" s="122"/>
      <c r="Y316" s="122"/>
      <c r="Z316" s="122"/>
      <c r="AA316" s="56"/>
      <c r="AB316" s="56"/>
      <c r="AC316" s="56"/>
      <c r="AD316" s="56"/>
    </row>
    <row r="317" spans="2:30">
      <c r="B317" s="145">
        <v>54</v>
      </c>
      <c r="C317" s="159">
        <f t="shared" si="88"/>
        <v>23143</v>
      </c>
      <c r="D317" s="160">
        <f t="shared" si="90"/>
        <v>10782</v>
      </c>
      <c r="E317" s="159">
        <f t="shared" si="89"/>
        <v>23143</v>
      </c>
      <c r="F317" s="161">
        <f t="shared" si="91"/>
        <v>10782</v>
      </c>
      <c r="G317" s="128"/>
      <c r="H317" s="145">
        <v>54</v>
      </c>
      <c r="I317" s="159">
        <f t="shared" si="80"/>
        <v>23143</v>
      </c>
      <c r="J317" s="160">
        <f t="shared" si="92"/>
        <v>10620</v>
      </c>
      <c r="K317" s="159">
        <f t="shared" si="82"/>
        <v>23365</v>
      </c>
      <c r="L317" s="161">
        <f t="shared" si="93"/>
        <v>11256</v>
      </c>
      <c r="M317" s="127"/>
      <c r="N317" s="145">
        <v>54</v>
      </c>
      <c r="O317" s="159">
        <f t="shared" si="84"/>
        <v>23365</v>
      </c>
      <c r="P317" s="160">
        <f t="shared" si="94"/>
        <v>11094</v>
      </c>
      <c r="Q317" s="159">
        <f t="shared" si="86"/>
        <v>23365</v>
      </c>
      <c r="R317" s="161">
        <f t="shared" si="95"/>
        <v>11094</v>
      </c>
      <c r="S317" s="127"/>
      <c r="T317" s="127"/>
      <c r="U317" s="128"/>
      <c r="V317" s="127"/>
      <c r="W317" s="122"/>
      <c r="X317" s="122"/>
      <c r="Y317" s="122"/>
      <c r="Z317" s="122"/>
      <c r="AA317" s="56"/>
      <c r="AB317" s="56"/>
      <c r="AC317" s="56"/>
      <c r="AD317" s="56"/>
    </row>
    <row r="318" spans="2:30">
      <c r="B318" s="145">
        <v>55</v>
      </c>
      <c r="C318" s="159">
        <f t="shared" si="88"/>
        <v>23571</v>
      </c>
      <c r="D318" s="160">
        <f t="shared" si="90"/>
        <v>10465</v>
      </c>
      <c r="E318" s="159">
        <f t="shared" si="89"/>
        <v>23571</v>
      </c>
      <c r="F318" s="161">
        <f t="shared" si="91"/>
        <v>10465</v>
      </c>
      <c r="G318" s="128"/>
      <c r="H318" s="145">
        <v>55</v>
      </c>
      <c r="I318" s="159">
        <f t="shared" si="80"/>
        <v>23571</v>
      </c>
      <c r="J318" s="160">
        <f t="shared" si="92"/>
        <v>10300</v>
      </c>
      <c r="K318" s="159">
        <f t="shared" si="82"/>
        <v>23798</v>
      </c>
      <c r="L318" s="161">
        <f t="shared" si="93"/>
        <v>10945</v>
      </c>
      <c r="M318" s="127"/>
      <c r="N318" s="145">
        <v>55</v>
      </c>
      <c r="O318" s="159">
        <f t="shared" si="84"/>
        <v>23798</v>
      </c>
      <c r="P318" s="160">
        <f t="shared" si="94"/>
        <v>10780</v>
      </c>
      <c r="Q318" s="159">
        <f t="shared" si="86"/>
        <v>23798</v>
      </c>
      <c r="R318" s="161">
        <f t="shared" si="95"/>
        <v>10780</v>
      </c>
      <c r="S318" s="127"/>
      <c r="T318" s="127"/>
      <c r="U318" s="128"/>
      <c r="V318" s="127"/>
      <c r="W318" s="122"/>
      <c r="X318" s="122"/>
      <c r="Y318" s="122"/>
      <c r="Z318" s="122"/>
      <c r="AA318" s="56"/>
      <c r="AB318" s="56"/>
      <c r="AC318" s="56"/>
      <c r="AD318" s="56"/>
    </row>
    <row r="319" spans="2:30">
      <c r="B319" s="145">
        <v>56</v>
      </c>
      <c r="C319" s="159">
        <f t="shared" si="88"/>
        <v>24000</v>
      </c>
      <c r="D319" s="160">
        <f t="shared" si="90"/>
        <v>10148</v>
      </c>
      <c r="E319" s="159">
        <f t="shared" si="89"/>
        <v>24000</v>
      </c>
      <c r="F319" s="161">
        <f t="shared" si="91"/>
        <v>10148</v>
      </c>
      <c r="G319" s="128"/>
      <c r="H319" s="145">
        <v>56</v>
      </c>
      <c r="I319" s="159">
        <f t="shared" si="80"/>
        <v>24000</v>
      </c>
      <c r="J319" s="160">
        <f t="shared" si="92"/>
        <v>9980</v>
      </c>
      <c r="K319" s="159">
        <f t="shared" si="82"/>
        <v>24231</v>
      </c>
      <c r="L319" s="161">
        <f t="shared" si="93"/>
        <v>10634</v>
      </c>
      <c r="M319" s="127"/>
      <c r="N319" s="145">
        <v>56</v>
      </c>
      <c r="O319" s="159">
        <f t="shared" si="84"/>
        <v>24231</v>
      </c>
      <c r="P319" s="160">
        <f t="shared" si="94"/>
        <v>10466</v>
      </c>
      <c r="Q319" s="159">
        <f t="shared" si="86"/>
        <v>24231</v>
      </c>
      <c r="R319" s="161">
        <f t="shared" si="95"/>
        <v>10466</v>
      </c>
      <c r="S319" s="127"/>
      <c r="T319" s="127"/>
      <c r="U319" s="128"/>
      <c r="V319" s="127"/>
      <c r="W319" s="122"/>
      <c r="X319" s="122"/>
      <c r="Y319" s="122"/>
      <c r="Z319" s="122"/>
      <c r="AA319" s="56"/>
      <c r="AB319" s="56"/>
      <c r="AC319" s="56"/>
      <c r="AD319" s="56"/>
    </row>
    <row r="320" spans="2:30">
      <c r="B320" s="145">
        <v>57</v>
      </c>
      <c r="C320" s="159">
        <f t="shared" si="88"/>
        <v>24429</v>
      </c>
      <c r="D320" s="160">
        <f t="shared" si="90"/>
        <v>9831</v>
      </c>
      <c r="E320" s="159">
        <f t="shared" si="89"/>
        <v>24429</v>
      </c>
      <c r="F320" s="161">
        <f t="shared" si="91"/>
        <v>9831</v>
      </c>
      <c r="G320" s="128"/>
      <c r="H320" s="145">
        <v>57</v>
      </c>
      <c r="I320" s="159">
        <f t="shared" si="80"/>
        <v>24429</v>
      </c>
      <c r="J320" s="160">
        <f t="shared" si="92"/>
        <v>9660</v>
      </c>
      <c r="K320" s="159">
        <f t="shared" si="82"/>
        <v>24663</v>
      </c>
      <c r="L320" s="161">
        <f t="shared" si="93"/>
        <v>10323</v>
      </c>
      <c r="M320" s="127"/>
      <c r="N320" s="145">
        <v>57</v>
      </c>
      <c r="O320" s="159">
        <f t="shared" si="84"/>
        <v>24663</v>
      </c>
      <c r="P320" s="160">
        <f t="shared" si="94"/>
        <v>10152</v>
      </c>
      <c r="Q320" s="159">
        <f t="shared" si="86"/>
        <v>24663</v>
      </c>
      <c r="R320" s="161">
        <f t="shared" si="95"/>
        <v>10152</v>
      </c>
      <c r="S320" s="127"/>
      <c r="T320" s="127"/>
      <c r="U320" s="128"/>
      <c r="V320" s="127"/>
      <c r="W320" s="122"/>
      <c r="X320" s="122"/>
      <c r="Y320" s="122"/>
      <c r="Z320" s="122"/>
      <c r="AA320" s="56"/>
      <c r="AB320" s="56"/>
      <c r="AC320" s="56"/>
      <c r="AD320" s="56"/>
    </row>
    <row r="321" spans="2:30">
      <c r="B321" s="145">
        <v>58</v>
      </c>
      <c r="C321" s="159">
        <f t="shared" si="88"/>
        <v>24857</v>
      </c>
      <c r="D321" s="160">
        <f t="shared" si="90"/>
        <v>9514</v>
      </c>
      <c r="E321" s="159">
        <f t="shared" si="89"/>
        <v>24857</v>
      </c>
      <c r="F321" s="161">
        <f t="shared" si="91"/>
        <v>9514</v>
      </c>
      <c r="G321" s="128"/>
      <c r="H321" s="145">
        <v>58</v>
      </c>
      <c r="I321" s="159">
        <f t="shared" si="80"/>
        <v>24857</v>
      </c>
      <c r="J321" s="160">
        <f t="shared" si="92"/>
        <v>9340</v>
      </c>
      <c r="K321" s="159">
        <f t="shared" si="82"/>
        <v>25096</v>
      </c>
      <c r="L321" s="161">
        <f t="shared" si="93"/>
        <v>10012</v>
      </c>
      <c r="M321" s="127"/>
      <c r="N321" s="145">
        <v>58</v>
      </c>
      <c r="O321" s="159">
        <f t="shared" si="84"/>
        <v>25096</v>
      </c>
      <c r="P321" s="160">
        <f t="shared" si="94"/>
        <v>9838</v>
      </c>
      <c r="Q321" s="159">
        <f t="shared" si="86"/>
        <v>25096</v>
      </c>
      <c r="R321" s="161">
        <f t="shared" si="95"/>
        <v>9838</v>
      </c>
      <c r="S321" s="127"/>
      <c r="T321" s="127"/>
      <c r="U321" s="128"/>
      <c r="V321" s="127"/>
      <c r="W321" s="122"/>
      <c r="X321" s="122"/>
      <c r="Y321" s="122"/>
      <c r="Z321" s="122"/>
      <c r="AA321" s="56"/>
      <c r="AB321" s="56"/>
      <c r="AC321" s="56"/>
      <c r="AD321" s="56"/>
    </row>
    <row r="322" spans="2:30">
      <c r="B322" s="145">
        <v>59</v>
      </c>
      <c r="C322" s="159">
        <f t="shared" si="88"/>
        <v>25286</v>
      </c>
      <c r="D322" s="160">
        <f t="shared" si="90"/>
        <v>9197</v>
      </c>
      <c r="E322" s="159">
        <f t="shared" si="89"/>
        <v>25286</v>
      </c>
      <c r="F322" s="161">
        <f t="shared" si="91"/>
        <v>9197</v>
      </c>
      <c r="G322" s="128"/>
      <c r="H322" s="145">
        <v>59</v>
      </c>
      <c r="I322" s="159">
        <f t="shared" si="80"/>
        <v>25286</v>
      </c>
      <c r="J322" s="160">
        <f t="shared" si="92"/>
        <v>9020</v>
      </c>
      <c r="K322" s="159">
        <f t="shared" si="82"/>
        <v>25529</v>
      </c>
      <c r="L322" s="161">
        <f t="shared" si="93"/>
        <v>9701</v>
      </c>
      <c r="M322" s="127"/>
      <c r="N322" s="145">
        <v>59</v>
      </c>
      <c r="O322" s="159">
        <f t="shared" si="84"/>
        <v>25529</v>
      </c>
      <c r="P322" s="160">
        <f t="shared" si="94"/>
        <v>9524</v>
      </c>
      <c r="Q322" s="159">
        <f t="shared" si="86"/>
        <v>25529</v>
      </c>
      <c r="R322" s="161">
        <f t="shared" si="95"/>
        <v>9524</v>
      </c>
      <c r="S322" s="127"/>
      <c r="T322" s="127"/>
      <c r="U322" s="128"/>
      <c r="V322" s="127"/>
      <c r="W322" s="122"/>
      <c r="X322" s="122"/>
      <c r="Y322" s="122"/>
      <c r="Z322" s="122"/>
      <c r="AA322" s="56"/>
      <c r="AB322" s="56"/>
      <c r="AC322" s="56"/>
      <c r="AD322" s="56"/>
    </row>
    <row r="323" spans="2:30">
      <c r="B323" s="146">
        <v>60</v>
      </c>
      <c r="C323" s="162">
        <f t="shared" si="88"/>
        <v>25714</v>
      </c>
      <c r="D323" s="163">
        <f t="shared" si="90"/>
        <v>8880</v>
      </c>
      <c r="E323" s="162">
        <f t="shared" si="89"/>
        <v>25714</v>
      </c>
      <c r="F323" s="164">
        <f t="shared" si="91"/>
        <v>8880</v>
      </c>
      <c r="G323" s="128"/>
      <c r="H323" s="146">
        <v>60</v>
      </c>
      <c r="I323" s="162">
        <f t="shared" si="80"/>
        <v>25714</v>
      </c>
      <c r="J323" s="163">
        <f t="shared" si="92"/>
        <v>8700</v>
      </c>
      <c r="K323" s="162">
        <f t="shared" si="82"/>
        <v>25962</v>
      </c>
      <c r="L323" s="164">
        <f t="shared" si="93"/>
        <v>9390</v>
      </c>
      <c r="M323" s="127"/>
      <c r="N323" s="146">
        <v>60</v>
      </c>
      <c r="O323" s="162">
        <f t="shared" si="84"/>
        <v>25962</v>
      </c>
      <c r="P323" s="163">
        <f t="shared" si="94"/>
        <v>9210</v>
      </c>
      <c r="Q323" s="162">
        <f t="shared" si="86"/>
        <v>25962</v>
      </c>
      <c r="R323" s="164">
        <f t="shared" si="95"/>
        <v>9210</v>
      </c>
      <c r="S323" s="127"/>
      <c r="T323" s="127"/>
      <c r="U323" s="128"/>
      <c r="V323" s="127"/>
      <c r="W323" s="122"/>
      <c r="X323" s="122"/>
      <c r="Y323" s="122"/>
      <c r="Z323" s="122"/>
      <c r="AA323" s="56"/>
      <c r="AB323" s="56"/>
      <c r="AC323" s="56"/>
      <c r="AD323" s="56"/>
    </row>
    <row r="324" spans="2:30">
      <c r="B324" s="145">
        <v>61</v>
      </c>
      <c r="C324" s="159">
        <f t="shared" si="88"/>
        <v>26143</v>
      </c>
      <c r="D324" s="160">
        <f t="shared" si="90"/>
        <v>8563</v>
      </c>
      <c r="E324" s="159">
        <f t="shared" si="89"/>
        <v>26143</v>
      </c>
      <c r="F324" s="161">
        <f t="shared" si="91"/>
        <v>8563</v>
      </c>
      <c r="G324" s="128"/>
      <c r="H324" s="145">
        <v>61</v>
      </c>
      <c r="I324" s="159">
        <f t="shared" si="80"/>
        <v>26143</v>
      </c>
      <c r="J324" s="160">
        <f t="shared" si="92"/>
        <v>8380</v>
      </c>
      <c r="K324" s="159">
        <f t="shared" si="82"/>
        <v>26394</v>
      </c>
      <c r="L324" s="161">
        <f t="shared" si="93"/>
        <v>9079</v>
      </c>
      <c r="M324" s="127"/>
      <c r="N324" s="145">
        <v>61</v>
      </c>
      <c r="O324" s="159">
        <f t="shared" si="84"/>
        <v>26394</v>
      </c>
      <c r="P324" s="160">
        <f t="shared" si="94"/>
        <v>8896</v>
      </c>
      <c r="Q324" s="159">
        <f t="shared" si="86"/>
        <v>26394</v>
      </c>
      <c r="R324" s="161">
        <f t="shared" si="95"/>
        <v>8896</v>
      </c>
      <c r="S324" s="127"/>
      <c r="T324" s="127"/>
      <c r="U324" s="128"/>
      <c r="V324" s="127"/>
      <c r="W324" s="122"/>
      <c r="X324" s="122"/>
      <c r="Y324" s="122"/>
      <c r="Z324" s="122"/>
      <c r="AA324" s="56"/>
      <c r="AB324" s="56"/>
      <c r="AC324" s="56"/>
      <c r="AD324" s="56"/>
    </row>
    <row r="325" spans="2:30">
      <c r="B325" s="145">
        <v>62</v>
      </c>
      <c r="C325" s="159">
        <f t="shared" si="88"/>
        <v>26571</v>
      </c>
      <c r="D325" s="160">
        <f t="shared" si="90"/>
        <v>8246</v>
      </c>
      <c r="E325" s="159">
        <f t="shared" si="89"/>
        <v>26571</v>
      </c>
      <c r="F325" s="161">
        <f t="shared" si="91"/>
        <v>8246</v>
      </c>
      <c r="G325" s="128"/>
      <c r="H325" s="145">
        <v>62</v>
      </c>
      <c r="I325" s="159">
        <f t="shared" si="80"/>
        <v>26571</v>
      </c>
      <c r="J325" s="160">
        <f t="shared" si="92"/>
        <v>8060</v>
      </c>
      <c r="K325" s="159">
        <f t="shared" si="82"/>
        <v>26827</v>
      </c>
      <c r="L325" s="161">
        <f t="shared" si="93"/>
        <v>8768</v>
      </c>
      <c r="M325" s="127"/>
      <c r="N325" s="145">
        <v>62</v>
      </c>
      <c r="O325" s="159">
        <f t="shared" si="84"/>
        <v>26827</v>
      </c>
      <c r="P325" s="160">
        <f t="shared" si="94"/>
        <v>8582</v>
      </c>
      <c r="Q325" s="159">
        <f t="shared" si="86"/>
        <v>26827</v>
      </c>
      <c r="R325" s="161">
        <f t="shared" si="95"/>
        <v>8582</v>
      </c>
      <c r="S325" s="127"/>
      <c r="T325" s="127"/>
      <c r="U325" s="128"/>
      <c r="V325" s="127"/>
      <c r="W325" s="122"/>
      <c r="X325" s="122"/>
      <c r="Y325" s="122"/>
      <c r="Z325" s="122"/>
      <c r="AA325" s="56"/>
      <c r="AB325" s="56"/>
      <c r="AC325" s="56"/>
      <c r="AD325" s="56"/>
    </row>
    <row r="326" spans="2:30">
      <c r="B326" s="145">
        <v>63</v>
      </c>
      <c r="C326" s="159">
        <f t="shared" si="88"/>
        <v>27000</v>
      </c>
      <c r="D326" s="160">
        <f t="shared" si="90"/>
        <v>7929</v>
      </c>
      <c r="E326" s="159">
        <f t="shared" si="89"/>
        <v>27000</v>
      </c>
      <c r="F326" s="161">
        <f t="shared" si="91"/>
        <v>7929</v>
      </c>
      <c r="G326" s="128"/>
      <c r="H326" s="145">
        <v>63</v>
      </c>
      <c r="I326" s="159">
        <f t="shared" si="80"/>
        <v>27000</v>
      </c>
      <c r="J326" s="160">
        <f t="shared" si="92"/>
        <v>7740</v>
      </c>
      <c r="K326" s="159">
        <f t="shared" si="82"/>
        <v>27260</v>
      </c>
      <c r="L326" s="161">
        <f t="shared" si="93"/>
        <v>8457</v>
      </c>
      <c r="M326" s="127"/>
      <c r="N326" s="145">
        <v>63</v>
      </c>
      <c r="O326" s="159">
        <f t="shared" si="84"/>
        <v>27260</v>
      </c>
      <c r="P326" s="160">
        <f t="shared" si="94"/>
        <v>8268</v>
      </c>
      <c r="Q326" s="159">
        <f t="shared" si="86"/>
        <v>27260</v>
      </c>
      <c r="R326" s="161">
        <f t="shared" si="95"/>
        <v>8268</v>
      </c>
      <c r="S326" s="127"/>
      <c r="T326" s="127"/>
      <c r="U326" s="128"/>
      <c r="V326" s="127"/>
      <c r="W326" s="122"/>
      <c r="X326" s="122"/>
      <c r="Y326" s="122"/>
      <c r="Z326" s="122"/>
      <c r="AA326" s="56"/>
      <c r="AB326" s="56"/>
      <c r="AC326" s="56"/>
      <c r="AD326" s="56"/>
    </row>
    <row r="327" spans="2:30">
      <c r="B327" s="145">
        <v>64</v>
      </c>
      <c r="C327" s="159">
        <f t="shared" si="88"/>
        <v>27429</v>
      </c>
      <c r="D327" s="160">
        <f t="shared" si="90"/>
        <v>7612</v>
      </c>
      <c r="E327" s="159">
        <f t="shared" si="89"/>
        <v>27429</v>
      </c>
      <c r="F327" s="161">
        <f t="shared" si="91"/>
        <v>7612</v>
      </c>
      <c r="G327" s="128"/>
      <c r="H327" s="145">
        <v>64</v>
      </c>
      <c r="I327" s="159">
        <f t="shared" si="80"/>
        <v>27429</v>
      </c>
      <c r="J327" s="160">
        <f t="shared" si="92"/>
        <v>7420</v>
      </c>
      <c r="K327" s="159">
        <f t="shared" si="82"/>
        <v>27692</v>
      </c>
      <c r="L327" s="161">
        <f t="shared" si="93"/>
        <v>8146</v>
      </c>
      <c r="M327" s="127"/>
      <c r="N327" s="145">
        <v>64</v>
      </c>
      <c r="O327" s="159">
        <f t="shared" si="84"/>
        <v>27692</v>
      </c>
      <c r="P327" s="160">
        <f t="shared" si="94"/>
        <v>7954</v>
      </c>
      <c r="Q327" s="159">
        <f t="shared" si="86"/>
        <v>27692</v>
      </c>
      <c r="R327" s="161">
        <f t="shared" si="95"/>
        <v>7954</v>
      </c>
      <c r="S327" s="127"/>
      <c r="T327" s="127"/>
      <c r="U327" s="128"/>
      <c r="V327" s="127"/>
      <c r="W327" s="122"/>
      <c r="X327" s="122"/>
      <c r="Y327" s="122"/>
      <c r="Z327" s="122"/>
      <c r="AA327" s="56"/>
      <c r="AB327" s="56"/>
      <c r="AC327" s="56"/>
      <c r="AD327" s="56"/>
    </row>
    <row r="328" spans="2:30">
      <c r="B328" s="145">
        <v>65</v>
      </c>
      <c r="C328" s="159">
        <f t="shared" ref="C328:C359" si="96">ROUND(B328*$E$23,0)</f>
        <v>27857</v>
      </c>
      <c r="D328" s="160">
        <f t="shared" si="90"/>
        <v>7295</v>
      </c>
      <c r="E328" s="159">
        <f t="shared" ref="E328:E359" si="97">ROUND(B328*$E$23,0)</f>
        <v>27857</v>
      </c>
      <c r="F328" s="161">
        <f t="shared" si="91"/>
        <v>7295</v>
      </c>
      <c r="G328" s="128"/>
      <c r="H328" s="145">
        <v>65</v>
      </c>
      <c r="I328" s="159">
        <f t="shared" si="80"/>
        <v>27857</v>
      </c>
      <c r="J328" s="160">
        <f t="shared" si="92"/>
        <v>7100</v>
      </c>
      <c r="K328" s="159">
        <f t="shared" si="82"/>
        <v>28125</v>
      </c>
      <c r="L328" s="161">
        <f t="shared" si="93"/>
        <v>7835</v>
      </c>
      <c r="M328" s="127"/>
      <c r="N328" s="145">
        <v>65</v>
      </c>
      <c r="O328" s="159">
        <f t="shared" si="84"/>
        <v>28125</v>
      </c>
      <c r="P328" s="160">
        <f t="shared" si="94"/>
        <v>7640</v>
      </c>
      <c r="Q328" s="159">
        <f t="shared" si="86"/>
        <v>28125</v>
      </c>
      <c r="R328" s="161">
        <f t="shared" si="95"/>
        <v>7640</v>
      </c>
      <c r="S328" s="127"/>
      <c r="T328" s="127"/>
      <c r="U328" s="128"/>
      <c r="V328" s="127"/>
      <c r="W328" s="122"/>
      <c r="X328" s="122"/>
      <c r="Y328" s="122"/>
      <c r="Z328" s="122"/>
      <c r="AA328" s="56"/>
      <c r="AB328" s="56"/>
      <c r="AC328" s="56"/>
      <c r="AD328" s="56"/>
    </row>
    <row r="329" spans="2:30">
      <c r="B329" s="145">
        <v>66</v>
      </c>
      <c r="C329" s="159">
        <f t="shared" si="96"/>
        <v>28286</v>
      </c>
      <c r="D329" s="160">
        <f t="shared" ref="D329:D363" si="98">ROUND(D328-($E$264-($E$264*$D$29%)),0)</f>
        <v>6978</v>
      </c>
      <c r="E329" s="159">
        <f t="shared" si="97"/>
        <v>28286</v>
      </c>
      <c r="F329" s="161">
        <f t="shared" ref="F329:F363" si="99">ROUND(F328-($C$264-($C$264*$D$29%)),0)</f>
        <v>6978</v>
      </c>
      <c r="G329" s="128"/>
      <c r="H329" s="145">
        <v>66</v>
      </c>
      <c r="I329" s="159">
        <f t="shared" ref="I329:I363" si="100">ROUND(H329*$E$23,0)</f>
        <v>28286</v>
      </c>
      <c r="J329" s="160">
        <f t="shared" ref="J329:J363" si="101">ROUND(J328-($K$264-($K$264*$D$29%)),0)</f>
        <v>6780</v>
      </c>
      <c r="K329" s="159">
        <f t="shared" ref="K329:K363" si="102">ROUND(H329*$E$24,0)</f>
        <v>28558</v>
      </c>
      <c r="L329" s="161">
        <f t="shared" ref="L329:L363" si="103">ROUND(L328-($I$264-($I$264*$E$29%)),0)</f>
        <v>7524</v>
      </c>
      <c r="M329" s="127"/>
      <c r="N329" s="145">
        <v>66</v>
      </c>
      <c r="O329" s="159">
        <f t="shared" ref="O329:O363" si="104">ROUND(N329*$E$24,0)</f>
        <v>28558</v>
      </c>
      <c r="P329" s="160">
        <f t="shared" ref="P329:P363" si="105">ROUND(P328-($Q$264-($Q$264*$E$29%)),0)</f>
        <v>7326</v>
      </c>
      <c r="Q329" s="159">
        <f t="shared" ref="Q329:Q363" si="106">ROUND(N329*$E$24,0)</f>
        <v>28558</v>
      </c>
      <c r="R329" s="161">
        <f t="shared" ref="R329:R363" si="107">ROUND(R328-($O$264-($O$264*$E$29%)),0)</f>
        <v>7326</v>
      </c>
      <c r="S329" s="127"/>
      <c r="T329" s="127"/>
      <c r="U329" s="128"/>
      <c r="V329" s="127"/>
      <c r="W329" s="122"/>
      <c r="X329" s="122"/>
      <c r="Y329" s="122"/>
      <c r="Z329" s="122"/>
      <c r="AA329" s="56"/>
      <c r="AB329" s="56"/>
      <c r="AC329" s="56"/>
      <c r="AD329" s="56"/>
    </row>
    <row r="330" spans="2:30">
      <c r="B330" s="145">
        <v>67</v>
      </c>
      <c r="C330" s="159">
        <f t="shared" si="96"/>
        <v>28714</v>
      </c>
      <c r="D330" s="160">
        <f t="shared" si="98"/>
        <v>6661</v>
      </c>
      <c r="E330" s="159">
        <f t="shared" si="97"/>
        <v>28714</v>
      </c>
      <c r="F330" s="161">
        <f t="shared" si="99"/>
        <v>6661</v>
      </c>
      <c r="G330" s="128"/>
      <c r="H330" s="145">
        <v>67</v>
      </c>
      <c r="I330" s="159">
        <f t="shared" si="100"/>
        <v>28714</v>
      </c>
      <c r="J330" s="160">
        <f t="shared" si="101"/>
        <v>6460</v>
      </c>
      <c r="K330" s="159">
        <f t="shared" si="102"/>
        <v>28990</v>
      </c>
      <c r="L330" s="161">
        <f t="shared" si="103"/>
        <v>7213</v>
      </c>
      <c r="M330" s="127"/>
      <c r="N330" s="145">
        <v>67</v>
      </c>
      <c r="O330" s="159">
        <f t="shared" si="104"/>
        <v>28990</v>
      </c>
      <c r="P330" s="160">
        <f t="shared" si="105"/>
        <v>7012</v>
      </c>
      <c r="Q330" s="159">
        <f t="shared" si="106"/>
        <v>28990</v>
      </c>
      <c r="R330" s="161">
        <f t="shared" si="107"/>
        <v>7012</v>
      </c>
      <c r="S330" s="127"/>
      <c r="T330" s="127"/>
      <c r="U330" s="128"/>
      <c r="V330" s="127"/>
      <c r="W330" s="122"/>
      <c r="X330" s="122"/>
      <c r="Y330" s="122"/>
      <c r="Z330" s="122"/>
      <c r="AA330" s="56"/>
      <c r="AB330" s="56"/>
      <c r="AC330" s="56"/>
      <c r="AD330" s="56"/>
    </row>
    <row r="331" spans="2:30">
      <c r="B331" s="145">
        <v>68</v>
      </c>
      <c r="C331" s="159">
        <f t="shared" si="96"/>
        <v>29143</v>
      </c>
      <c r="D331" s="160">
        <f t="shared" si="98"/>
        <v>6344</v>
      </c>
      <c r="E331" s="159">
        <f t="shared" si="97"/>
        <v>29143</v>
      </c>
      <c r="F331" s="161">
        <f t="shared" si="99"/>
        <v>6344</v>
      </c>
      <c r="G331" s="128"/>
      <c r="H331" s="145">
        <v>68</v>
      </c>
      <c r="I331" s="159">
        <f t="shared" si="100"/>
        <v>29143</v>
      </c>
      <c r="J331" s="160">
        <f t="shared" si="101"/>
        <v>6140</v>
      </c>
      <c r="K331" s="159">
        <f t="shared" si="102"/>
        <v>29423</v>
      </c>
      <c r="L331" s="161">
        <f t="shared" si="103"/>
        <v>6902</v>
      </c>
      <c r="M331" s="127"/>
      <c r="N331" s="145">
        <v>68</v>
      </c>
      <c r="O331" s="159">
        <f t="shared" si="104"/>
        <v>29423</v>
      </c>
      <c r="P331" s="160">
        <f t="shared" si="105"/>
        <v>6698</v>
      </c>
      <c r="Q331" s="159">
        <f t="shared" si="106"/>
        <v>29423</v>
      </c>
      <c r="R331" s="161">
        <f t="shared" si="107"/>
        <v>6698</v>
      </c>
      <c r="S331" s="127"/>
      <c r="T331" s="127"/>
      <c r="U331" s="128"/>
      <c r="V331" s="127"/>
      <c r="W331" s="122"/>
      <c r="X331" s="122"/>
      <c r="Y331" s="122"/>
      <c r="Z331" s="122"/>
      <c r="AA331" s="56"/>
      <c r="AB331" s="56"/>
      <c r="AC331" s="56"/>
      <c r="AD331" s="56"/>
    </row>
    <row r="332" spans="2:30">
      <c r="B332" s="145">
        <v>69</v>
      </c>
      <c r="C332" s="159">
        <f t="shared" si="96"/>
        <v>29571</v>
      </c>
      <c r="D332" s="160">
        <f t="shared" si="98"/>
        <v>6027</v>
      </c>
      <c r="E332" s="159">
        <f t="shared" si="97"/>
        <v>29571</v>
      </c>
      <c r="F332" s="161">
        <f t="shared" si="99"/>
        <v>6027</v>
      </c>
      <c r="G332" s="128"/>
      <c r="H332" s="145">
        <v>69</v>
      </c>
      <c r="I332" s="159">
        <f t="shared" si="100"/>
        <v>29571</v>
      </c>
      <c r="J332" s="160">
        <f t="shared" si="101"/>
        <v>5820</v>
      </c>
      <c r="K332" s="159">
        <f t="shared" si="102"/>
        <v>29856</v>
      </c>
      <c r="L332" s="161">
        <f t="shared" si="103"/>
        <v>6591</v>
      </c>
      <c r="M332" s="127"/>
      <c r="N332" s="145">
        <v>69</v>
      </c>
      <c r="O332" s="159">
        <f t="shared" si="104"/>
        <v>29856</v>
      </c>
      <c r="P332" s="160">
        <f t="shared" si="105"/>
        <v>6384</v>
      </c>
      <c r="Q332" s="159">
        <f t="shared" si="106"/>
        <v>29856</v>
      </c>
      <c r="R332" s="161">
        <f t="shared" si="107"/>
        <v>6384</v>
      </c>
      <c r="S332" s="127"/>
      <c r="T332" s="127"/>
      <c r="U332" s="128"/>
      <c r="V332" s="127"/>
      <c r="W332" s="122"/>
      <c r="X332" s="122"/>
      <c r="Y332" s="122"/>
      <c r="Z332" s="122"/>
      <c r="AA332" s="56"/>
      <c r="AB332" s="56"/>
      <c r="AC332" s="56"/>
      <c r="AD332" s="56"/>
    </row>
    <row r="333" spans="2:30">
      <c r="B333" s="146">
        <v>70</v>
      </c>
      <c r="C333" s="162">
        <f t="shared" si="96"/>
        <v>30000</v>
      </c>
      <c r="D333" s="163">
        <f t="shared" si="98"/>
        <v>5710</v>
      </c>
      <c r="E333" s="162">
        <f t="shared" si="97"/>
        <v>30000</v>
      </c>
      <c r="F333" s="164">
        <f t="shared" si="99"/>
        <v>5710</v>
      </c>
      <c r="G333" s="128"/>
      <c r="H333" s="146">
        <v>70</v>
      </c>
      <c r="I333" s="162">
        <f t="shared" si="100"/>
        <v>30000</v>
      </c>
      <c r="J333" s="163">
        <f t="shared" si="101"/>
        <v>5500</v>
      </c>
      <c r="K333" s="162">
        <f t="shared" si="102"/>
        <v>30288</v>
      </c>
      <c r="L333" s="164">
        <f t="shared" si="103"/>
        <v>6280</v>
      </c>
      <c r="M333" s="127"/>
      <c r="N333" s="146">
        <v>70</v>
      </c>
      <c r="O333" s="162">
        <f t="shared" si="104"/>
        <v>30288</v>
      </c>
      <c r="P333" s="163">
        <f t="shared" si="105"/>
        <v>6070</v>
      </c>
      <c r="Q333" s="162">
        <f t="shared" si="106"/>
        <v>30288</v>
      </c>
      <c r="R333" s="164">
        <f t="shared" si="107"/>
        <v>6070</v>
      </c>
      <c r="S333" s="127"/>
      <c r="T333" s="127"/>
      <c r="U333" s="128"/>
      <c r="V333" s="127"/>
      <c r="W333" s="122"/>
      <c r="X333" s="122"/>
      <c r="Y333" s="122"/>
      <c r="Z333" s="122"/>
      <c r="AA333" s="56"/>
      <c r="AB333" s="56"/>
      <c r="AC333" s="56"/>
      <c r="AD333" s="56"/>
    </row>
    <row r="334" spans="2:30">
      <c r="B334" s="145">
        <v>71</v>
      </c>
      <c r="C334" s="159">
        <f t="shared" si="96"/>
        <v>30429</v>
      </c>
      <c r="D334" s="160">
        <f t="shared" si="98"/>
        <v>5393</v>
      </c>
      <c r="E334" s="159">
        <f t="shared" si="97"/>
        <v>30429</v>
      </c>
      <c r="F334" s="161">
        <f t="shared" si="99"/>
        <v>5393</v>
      </c>
      <c r="G334" s="128"/>
      <c r="H334" s="145">
        <v>71</v>
      </c>
      <c r="I334" s="159">
        <f t="shared" si="100"/>
        <v>30429</v>
      </c>
      <c r="J334" s="160">
        <f t="shared" si="101"/>
        <v>5180</v>
      </c>
      <c r="K334" s="159">
        <f t="shared" si="102"/>
        <v>30721</v>
      </c>
      <c r="L334" s="161">
        <f t="shared" si="103"/>
        <v>5969</v>
      </c>
      <c r="M334" s="127"/>
      <c r="N334" s="145">
        <v>71</v>
      </c>
      <c r="O334" s="159">
        <f t="shared" si="104"/>
        <v>30721</v>
      </c>
      <c r="P334" s="160">
        <f t="shared" si="105"/>
        <v>5756</v>
      </c>
      <c r="Q334" s="159">
        <f t="shared" si="106"/>
        <v>30721</v>
      </c>
      <c r="R334" s="161">
        <f t="shared" si="107"/>
        <v>5756</v>
      </c>
      <c r="S334" s="127"/>
      <c r="T334" s="127"/>
      <c r="U334" s="128"/>
      <c r="V334" s="127"/>
      <c r="W334" s="122"/>
      <c r="X334" s="122"/>
      <c r="Y334" s="122"/>
      <c r="Z334" s="122"/>
      <c r="AA334" s="56"/>
      <c r="AB334" s="56"/>
      <c r="AC334" s="56"/>
      <c r="AD334" s="56"/>
    </row>
    <row r="335" spans="2:30">
      <c r="B335" s="145">
        <v>72</v>
      </c>
      <c r="C335" s="159">
        <f t="shared" si="96"/>
        <v>30857</v>
      </c>
      <c r="D335" s="160">
        <f t="shared" si="98"/>
        <v>5076</v>
      </c>
      <c r="E335" s="159">
        <f t="shared" si="97"/>
        <v>30857</v>
      </c>
      <c r="F335" s="161">
        <f t="shared" si="99"/>
        <v>5076</v>
      </c>
      <c r="G335" s="128"/>
      <c r="H335" s="145">
        <v>72</v>
      </c>
      <c r="I335" s="159">
        <f t="shared" si="100"/>
        <v>30857</v>
      </c>
      <c r="J335" s="160">
        <f t="shared" si="101"/>
        <v>4860</v>
      </c>
      <c r="K335" s="159">
        <f t="shared" si="102"/>
        <v>31154</v>
      </c>
      <c r="L335" s="161">
        <f t="shared" si="103"/>
        <v>5658</v>
      </c>
      <c r="M335" s="127"/>
      <c r="N335" s="145">
        <v>72</v>
      </c>
      <c r="O335" s="159">
        <f t="shared" si="104"/>
        <v>31154</v>
      </c>
      <c r="P335" s="160">
        <f t="shared" si="105"/>
        <v>5442</v>
      </c>
      <c r="Q335" s="159">
        <f t="shared" si="106"/>
        <v>31154</v>
      </c>
      <c r="R335" s="161">
        <f t="shared" si="107"/>
        <v>5442</v>
      </c>
      <c r="S335" s="127"/>
      <c r="T335" s="127"/>
      <c r="U335" s="128"/>
      <c r="V335" s="127"/>
      <c r="W335" s="122"/>
      <c r="X335" s="122"/>
      <c r="Y335" s="122"/>
      <c r="Z335" s="122"/>
      <c r="AA335" s="56"/>
      <c r="AB335" s="56"/>
      <c r="AC335" s="56"/>
      <c r="AD335" s="56"/>
    </row>
    <row r="336" spans="2:30">
      <c r="B336" s="145">
        <v>73</v>
      </c>
      <c r="C336" s="159">
        <f t="shared" si="96"/>
        <v>31286</v>
      </c>
      <c r="D336" s="160">
        <f t="shared" si="98"/>
        <v>4759</v>
      </c>
      <c r="E336" s="159">
        <f t="shared" si="97"/>
        <v>31286</v>
      </c>
      <c r="F336" s="161">
        <f t="shared" si="99"/>
        <v>4759</v>
      </c>
      <c r="G336" s="128"/>
      <c r="H336" s="145">
        <v>73</v>
      </c>
      <c r="I336" s="159">
        <f t="shared" si="100"/>
        <v>31286</v>
      </c>
      <c r="J336" s="160">
        <f t="shared" si="101"/>
        <v>4540</v>
      </c>
      <c r="K336" s="159">
        <f t="shared" si="102"/>
        <v>31587</v>
      </c>
      <c r="L336" s="161">
        <f t="shared" si="103"/>
        <v>5347</v>
      </c>
      <c r="M336" s="127"/>
      <c r="N336" s="145">
        <v>73</v>
      </c>
      <c r="O336" s="159">
        <f t="shared" si="104"/>
        <v>31587</v>
      </c>
      <c r="P336" s="160">
        <f t="shared" si="105"/>
        <v>5128</v>
      </c>
      <c r="Q336" s="159">
        <f t="shared" si="106"/>
        <v>31587</v>
      </c>
      <c r="R336" s="161">
        <f t="shared" si="107"/>
        <v>5128</v>
      </c>
      <c r="S336" s="127"/>
      <c r="T336" s="127"/>
      <c r="U336" s="128"/>
      <c r="V336" s="127"/>
      <c r="W336" s="122"/>
      <c r="X336" s="122"/>
      <c r="Y336" s="122"/>
      <c r="Z336" s="122"/>
      <c r="AA336" s="56"/>
      <c r="AB336" s="56"/>
      <c r="AC336" s="56"/>
      <c r="AD336" s="56"/>
    </row>
    <row r="337" spans="2:30">
      <c r="B337" s="145">
        <v>74</v>
      </c>
      <c r="C337" s="159">
        <f t="shared" si="96"/>
        <v>31714</v>
      </c>
      <c r="D337" s="160">
        <f t="shared" si="98"/>
        <v>4442</v>
      </c>
      <c r="E337" s="159">
        <f t="shared" si="97"/>
        <v>31714</v>
      </c>
      <c r="F337" s="161">
        <f t="shared" si="99"/>
        <v>4442</v>
      </c>
      <c r="G337" s="128"/>
      <c r="H337" s="145">
        <v>74</v>
      </c>
      <c r="I337" s="159">
        <f t="shared" si="100"/>
        <v>31714</v>
      </c>
      <c r="J337" s="160">
        <f t="shared" si="101"/>
        <v>4220</v>
      </c>
      <c r="K337" s="159">
        <f t="shared" si="102"/>
        <v>32019</v>
      </c>
      <c r="L337" s="161">
        <f t="shared" si="103"/>
        <v>5036</v>
      </c>
      <c r="M337" s="127"/>
      <c r="N337" s="145">
        <v>74</v>
      </c>
      <c r="O337" s="159">
        <f t="shared" si="104"/>
        <v>32019</v>
      </c>
      <c r="P337" s="160">
        <f t="shared" si="105"/>
        <v>4814</v>
      </c>
      <c r="Q337" s="159">
        <f t="shared" si="106"/>
        <v>32019</v>
      </c>
      <c r="R337" s="161">
        <f t="shared" si="107"/>
        <v>4814</v>
      </c>
      <c r="S337" s="127"/>
      <c r="T337" s="127"/>
      <c r="U337" s="128"/>
      <c r="V337" s="127"/>
      <c r="W337" s="122"/>
      <c r="X337" s="122"/>
      <c r="Y337" s="122"/>
      <c r="Z337" s="122"/>
      <c r="AA337" s="56"/>
      <c r="AB337" s="56"/>
      <c r="AC337" s="56"/>
      <c r="AD337" s="56"/>
    </row>
    <row r="338" spans="2:30">
      <c r="B338" s="145">
        <v>75</v>
      </c>
      <c r="C338" s="159">
        <f t="shared" si="96"/>
        <v>32143</v>
      </c>
      <c r="D338" s="160">
        <f t="shared" si="98"/>
        <v>4125</v>
      </c>
      <c r="E338" s="159">
        <f t="shared" si="97"/>
        <v>32143</v>
      </c>
      <c r="F338" s="161">
        <f t="shared" si="99"/>
        <v>4125</v>
      </c>
      <c r="G338" s="128"/>
      <c r="H338" s="145">
        <v>75</v>
      </c>
      <c r="I338" s="159">
        <f t="shared" si="100"/>
        <v>32143</v>
      </c>
      <c r="J338" s="160">
        <f t="shared" si="101"/>
        <v>3900</v>
      </c>
      <c r="K338" s="159">
        <f t="shared" si="102"/>
        <v>32452</v>
      </c>
      <c r="L338" s="161">
        <f t="shared" si="103"/>
        <v>4725</v>
      </c>
      <c r="M338" s="127"/>
      <c r="N338" s="145">
        <v>75</v>
      </c>
      <c r="O338" s="159">
        <f t="shared" si="104"/>
        <v>32452</v>
      </c>
      <c r="P338" s="160">
        <f t="shared" si="105"/>
        <v>4500</v>
      </c>
      <c r="Q338" s="159">
        <f t="shared" si="106"/>
        <v>32452</v>
      </c>
      <c r="R338" s="161">
        <f t="shared" si="107"/>
        <v>4500</v>
      </c>
      <c r="S338" s="127"/>
      <c r="T338" s="127"/>
      <c r="U338" s="128"/>
      <c r="V338" s="127"/>
      <c r="W338" s="122"/>
      <c r="X338" s="122"/>
      <c r="Y338" s="122"/>
      <c r="Z338" s="122"/>
      <c r="AA338" s="56"/>
      <c r="AB338" s="56"/>
      <c r="AC338" s="56"/>
      <c r="AD338" s="56"/>
    </row>
    <row r="339" spans="2:30">
      <c r="B339" s="145">
        <v>76</v>
      </c>
      <c r="C339" s="159">
        <f t="shared" si="96"/>
        <v>32571</v>
      </c>
      <c r="D339" s="160">
        <f t="shared" si="98"/>
        <v>3808</v>
      </c>
      <c r="E339" s="159">
        <f t="shared" si="97"/>
        <v>32571</v>
      </c>
      <c r="F339" s="161">
        <f t="shared" si="99"/>
        <v>3808</v>
      </c>
      <c r="G339" s="128"/>
      <c r="H339" s="145">
        <v>76</v>
      </c>
      <c r="I339" s="159">
        <f t="shared" si="100"/>
        <v>32571</v>
      </c>
      <c r="J339" s="160">
        <f t="shared" si="101"/>
        <v>3580</v>
      </c>
      <c r="K339" s="159">
        <f t="shared" si="102"/>
        <v>32885</v>
      </c>
      <c r="L339" s="161">
        <f t="shared" si="103"/>
        <v>4414</v>
      </c>
      <c r="M339" s="127"/>
      <c r="N339" s="145">
        <v>76</v>
      </c>
      <c r="O339" s="159">
        <f t="shared" si="104"/>
        <v>32885</v>
      </c>
      <c r="P339" s="160">
        <f t="shared" si="105"/>
        <v>4186</v>
      </c>
      <c r="Q339" s="159">
        <f t="shared" si="106"/>
        <v>32885</v>
      </c>
      <c r="R339" s="161">
        <f t="shared" si="107"/>
        <v>4186</v>
      </c>
      <c r="S339" s="127"/>
      <c r="T339" s="127"/>
      <c r="U339" s="128"/>
      <c r="V339" s="127"/>
      <c r="W339" s="122"/>
      <c r="X339" s="122"/>
      <c r="Y339" s="122"/>
      <c r="Z339" s="122"/>
      <c r="AA339" s="56"/>
      <c r="AB339" s="56"/>
      <c r="AC339" s="56"/>
      <c r="AD339" s="56"/>
    </row>
    <row r="340" spans="2:30">
      <c r="B340" s="145">
        <v>77</v>
      </c>
      <c r="C340" s="159">
        <f t="shared" si="96"/>
        <v>33000</v>
      </c>
      <c r="D340" s="160">
        <f t="shared" si="98"/>
        <v>3491</v>
      </c>
      <c r="E340" s="159">
        <f t="shared" si="97"/>
        <v>33000</v>
      </c>
      <c r="F340" s="161">
        <f t="shared" si="99"/>
        <v>3491</v>
      </c>
      <c r="G340" s="128"/>
      <c r="H340" s="145">
        <v>77</v>
      </c>
      <c r="I340" s="159">
        <f t="shared" si="100"/>
        <v>33000</v>
      </c>
      <c r="J340" s="160">
        <f t="shared" si="101"/>
        <v>3260</v>
      </c>
      <c r="K340" s="159">
        <f t="shared" si="102"/>
        <v>33317</v>
      </c>
      <c r="L340" s="161">
        <f t="shared" si="103"/>
        <v>4103</v>
      </c>
      <c r="M340" s="127"/>
      <c r="N340" s="145">
        <v>77</v>
      </c>
      <c r="O340" s="159">
        <f t="shared" si="104"/>
        <v>33317</v>
      </c>
      <c r="P340" s="160">
        <f t="shared" si="105"/>
        <v>3872</v>
      </c>
      <c r="Q340" s="159">
        <f t="shared" si="106"/>
        <v>33317</v>
      </c>
      <c r="R340" s="161">
        <f t="shared" si="107"/>
        <v>3872</v>
      </c>
      <c r="S340" s="127"/>
      <c r="T340" s="127"/>
      <c r="U340" s="128"/>
      <c r="V340" s="127"/>
      <c r="W340" s="122"/>
      <c r="X340" s="122"/>
      <c r="Y340" s="122"/>
      <c r="Z340" s="122"/>
      <c r="AA340" s="56"/>
      <c r="AB340" s="56"/>
      <c r="AC340" s="56"/>
      <c r="AD340" s="56"/>
    </row>
    <row r="341" spans="2:30">
      <c r="B341" s="145">
        <v>78</v>
      </c>
      <c r="C341" s="159">
        <f t="shared" si="96"/>
        <v>33429</v>
      </c>
      <c r="D341" s="160">
        <f t="shared" si="98"/>
        <v>3174</v>
      </c>
      <c r="E341" s="159">
        <f t="shared" si="97"/>
        <v>33429</v>
      </c>
      <c r="F341" s="161">
        <f t="shared" si="99"/>
        <v>3174</v>
      </c>
      <c r="G341" s="128"/>
      <c r="H341" s="145">
        <v>78</v>
      </c>
      <c r="I341" s="159">
        <f t="shared" si="100"/>
        <v>33429</v>
      </c>
      <c r="J341" s="160">
        <f t="shared" si="101"/>
        <v>2940</v>
      </c>
      <c r="K341" s="159">
        <f t="shared" si="102"/>
        <v>33750</v>
      </c>
      <c r="L341" s="161">
        <f t="shared" si="103"/>
        <v>3792</v>
      </c>
      <c r="M341" s="127"/>
      <c r="N341" s="145">
        <v>78</v>
      </c>
      <c r="O341" s="159">
        <f t="shared" si="104"/>
        <v>33750</v>
      </c>
      <c r="P341" s="160">
        <f t="shared" si="105"/>
        <v>3558</v>
      </c>
      <c r="Q341" s="159">
        <f t="shared" si="106"/>
        <v>33750</v>
      </c>
      <c r="R341" s="161">
        <f t="shared" si="107"/>
        <v>3558</v>
      </c>
      <c r="S341" s="127"/>
      <c r="T341" s="127"/>
      <c r="U341" s="128"/>
      <c r="V341" s="127"/>
      <c r="W341" s="122"/>
      <c r="X341" s="122"/>
      <c r="Y341" s="122"/>
      <c r="Z341" s="122"/>
      <c r="AA341" s="56"/>
      <c r="AB341" s="56"/>
      <c r="AC341" s="56"/>
      <c r="AD341" s="56"/>
    </row>
    <row r="342" spans="2:30">
      <c r="B342" s="145">
        <v>79</v>
      </c>
      <c r="C342" s="159">
        <f t="shared" si="96"/>
        <v>33857</v>
      </c>
      <c r="D342" s="160">
        <f t="shared" si="98"/>
        <v>2857</v>
      </c>
      <c r="E342" s="159">
        <f t="shared" si="97"/>
        <v>33857</v>
      </c>
      <c r="F342" s="161">
        <f t="shared" si="99"/>
        <v>2857</v>
      </c>
      <c r="G342" s="128"/>
      <c r="H342" s="145">
        <v>79</v>
      </c>
      <c r="I342" s="159">
        <f t="shared" si="100"/>
        <v>33857</v>
      </c>
      <c r="J342" s="160">
        <f t="shared" si="101"/>
        <v>2620</v>
      </c>
      <c r="K342" s="159">
        <f t="shared" si="102"/>
        <v>34183</v>
      </c>
      <c r="L342" s="161">
        <f t="shared" si="103"/>
        <v>3481</v>
      </c>
      <c r="M342" s="127"/>
      <c r="N342" s="145">
        <v>79</v>
      </c>
      <c r="O342" s="159">
        <f t="shared" si="104"/>
        <v>34183</v>
      </c>
      <c r="P342" s="160">
        <f t="shared" si="105"/>
        <v>3244</v>
      </c>
      <c r="Q342" s="159">
        <f t="shared" si="106"/>
        <v>34183</v>
      </c>
      <c r="R342" s="161">
        <f t="shared" si="107"/>
        <v>3244</v>
      </c>
      <c r="S342" s="127"/>
      <c r="T342" s="127"/>
      <c r="U342" s="128"/>
      <c r="V342" s="127"/>
      <c r="W342" s="122"/>
      <c r="X342" s="122"/>
      <c r="Y342" s="122"/>
      <c r="Z342" s="122"/>
      <c r="AA342" s="56"/>
      <c r="AB342" s="56"/>
      <c r="AC342" s="56"/>
      <c r="AD342" s="56"/>
    </row>
    <row r="343" spans="2:30">
      <c r="B343" s="146">
        <v>80</v>
      </c>
      <c r="C343" s="162">
        <f t="shared" si="96"/>
        <v>34286</v>
      </c>
      <c r="D343" s="163">
        <f t="shared" si="98"/>
        <v>2540</v>
      </c>
      <c r="E343" s="162">
        <f t="shared" si="97"/>
        <v>34286</v>
      </c>
      <c r="F343" s="164">
        <f t="shared" si="99"/>
        <v>2540</v>
      </c>
      <c r="G343" s="128"/>
      <c r="H343" s="146">
        <v>80</v>
      </c>
      <c r="I343" s="162">
        <f t="shared" si="100"/>
        <v>34286</v>
      </c>
      <c r="J343" s="163">
        <f t="shared" si="101"/>
        <v>2300</v>
      </c>
      <c r="K343" s="162">
        <f t="shared" si="102"/>
        <v>34615</v>
      </c>
      <c r="L343" s="164">
        <f t="shared" si="103"/>
        <v>3170</v>
      </c>
      <c r="M343" s="127"/>
      <c r="N343" s="146">
        <v>80</v>
      </c>
      <c r="O343" s="162">
        <f t="shared" si="104"/>
        <v>34615</v>
      </c>
      <c r="P343" s="163">
        <f t="shared" si="105"/>
        <v>2930</v>
      </c>
      <c r="Q343" s="162">
        <f t="shared" si="106"/>
        <v>34615</v>
      </c>
      <c r="R343" s="164">
        <f t="shared" si="107"/>
        <v>2930</v>
      </c>
      <c r="S343" s="127"/>
      <c r="T343" s="127"/>
      <c r="U343" s="128"/>
      <c r="V343" s="127"/>
      <c r="W343" s="122"/>
      <c r="X343" s="122"/>
      <c r="Y343" s="122"/>
      <c r="Z343" s="122"/>
      <c r="AA343" s="56"/>
      <c r="AB343" s="56"/>
      <c r="AC343" s="56"/>
      <c r="AD343" s="56"/>
    </row>
    <row r="344" spans="2:30">
      <c r="B344" s="145">
        <v>81</v>
      </c>
      <c r="C344" s="159">
        <f t="shared" si="96"/>
        <v>34714</v>
      </c>
      <c r="D344" s="160">
        <f t="shared" si="98"/>
        <v>2223</v>
      </c>
      <c r="E344" s="159">
        <f t="shared" si="97"/>
        <v>34714</v>
      </c>
      <c r="F344" s="161">
        <f t="shared" si="99"/>
        <v>2223</v>
      </c>
      <c r="G344" s="128"/>
      <c r="H344" s="145">
        <v>81</v>
      </c>
      <c r="I344" s="159">
        <f t="shared" si="100"/>
        <v>34714</v>
      </c>
      <c r="J344" s="160">
        <f t="shared" si="101"/>
        <v>1980</v>
      </c>
      <c r="K344" s="159">
        <f t="shared" si="102"/>
        <v>35048</v>
      </c>
      <c r="L344" s="161">
        <f t="shared" si="103"/>
        <v>2859</v>
      </c>
      <c r="M344" s="127"/>
      <c r="N344" s="145">
        <v>81</v>
      </c>
      <c r="O344" s="159">
        <f t="shared" si="104"/>
        <v>35048</v>
      </c>
      <c r="P344" s="160">
        <f t="shared" si="105"/>
        <v>2616</v>
      </c>
      <c r="Q344" s="159">
        <f t="shared" si="106"/>
        <v>35048</v>
      </c>
      <c r="R344" s="161">
        <f t="shared" si="107"/>
        <v>2616</v>
      </c>
      <c r="S344" s="127"/>
      <c r="T344" s="127"/>
      <c r="U344" s="128"/>
      <c r="V344" s="127"/>
      <c r="W344" s="122"/>
      <c r="X344" s="122"/>
      <c r="Y344" s="122"/>
      <c r="Z344" s="122"/>
      <c r="AA344" s="56"/>
      <c r="AB344" s="56"/>
      <c r="AC344" s="56"/>
      <c r="AD344" s="56"/>
    </row>
    <row r="345" spans="2:30">
      <c r="B345" s="145">
        <v>82</v>
      </c>
      <c r="C345" s="159">
        <f t="shared" si="96"/>
        <v>35143</v>
      </c>
      <c r="D345" s="160">
        <f t="shared" si="98"/>
        <v>1906</v>
      </c>
      <c r="E345" s="159">
        <f t="shared" si="97"/>
        <v>35143</v>
      </c>
      <c r="F345" s="161">
        <f t="shared" si="99"/>
        <v>1906</v>
      </c>
      <c r="G345" s="128"/>
      <c r="H345" s="145">
        <v>82</v>
      </c>
      <c r="I345" s="159">
        <f t="shared" si="100"/>
        <v>35143</v>
      </c>
      <c r="J345" s="160">
        <f t="shared" si="101"/>
        <v>1660</v>
      </c>
      <c r="K345" s="159">
        <f t="shared" si="102"/>
        <v>35481</v>
      </c>
      <c r="L345" s="161">
        <f t="shared" si="103"/>
        <v>2548</v>
      </c>
      <c r="M345" s="127"/>
      <c r="N345" s="145">
        <v>82</v>
      </c>
      <c r="O345" s="159">
        <f t="shared" si="104"/>
        <v>35481</v>
      </c>
      <c r="P345" s="160">
        <f t="shared" si="105"/>
        <v>2302</v>
      </c>
      <c r="Q345" s="159">
        <f t="shared" si="106"/>
        <v>35481</v>
      </c>
      <c r="R345" s="161">
        <f t="shared" si="107"/>
        <v>2302</v>
      </c>
      <c r="S345" s="127"/>
      <c r="T345" s="127"/>
      <c r="U345" s="128"/>
      <c r="V345" s="127"/>
      <c r="W345" s="122"/>
      <c r="X345" s="122"/>
      <c r="Y345" s="122"/>
      <c r="Z345" s="122"/>
      <c r="AA345" s="56"/>
      <c r="AB345" s="56"/>
      <c r="AC345" s="56"/>
      <c r="AD345" s="56"/>
    </row>
    <row r="346" spans="2:30">
      <c r="B346" s="145">
        <v>83</v>
      </c>
      <c r="C346" s="159">
        <f t="shared" si="96"/>
        <v>35571</v>
      </c>
      <c r="D346" s="160">
        <f t="shared" si="98"/>
        <v>1589</v>
      </c>
      <c r="E346" s="159">
        <f t="shared" si="97"/>
        <v>35571</v>
      </c>
      <c r="F346" s="161">
        <f t="shared" si="99"/>
        <v>1589</v>
      </c>
      <c r="G346" s="128"/>
      <c r="H346" s="145">
        <v>83</v>
      </c>
      <c r="I346" s="159">
        <f t="shared" si="100"/>
        <v>35571</v>
      </c>
      <c r="J346" s="160">
        <f t="shared" si="101"/>
        <v>1340</v>
      </c>
      <c r="K346" s="159">
        <f t="shared" si="102"/>
        <v>35913</v>
      </c>
      <c r="L346" s="161">
        <f t="shared" si="103"/>
        <v>2237</v>
      </c>
      <c r="M346" s="127"/>
      <c r="N346" s="145">
        <v>83</v>
      </c>
      <c r="O346" s="159">
        <f t="shared" si="104"/>
        <v>35913</v>
      </c>
      <c r="P346" s="160">
        <f t="shared" si="105"/>
        <v>1988</v>
      </c>
      <c r="Q346" s="159">
        <f t="shared" si="106"/>
        <v>35913</v>
      </c>
      <c r="R346" s="161">
        <f t="shared" si="107"/>
        <v>1988</v>
      </c>
      <c r="S346" s="127"/>
      <c r="T346" s="127"/>
      <c r="U346" s="128"/>
      <c r="V346" s="127"/>
      <c r="W346" s="122"/>
      <c r="X346" s="122"/>
      <c r="Y346" s="122"/>
      <c r="Z346" s="122"/>
      <c r="AA346" s="56"/>
      <c r="AB346" s="56"/>
      <c r="AC346" s="56"/>
      <c r="AD346" s="56"/>
    </row>
    <row r="347" spans="2:30">
      <c r="B347" s="145">
        <v>84</v>
      </c>
      <c r="C347" s="159">
        <f t="shared" si="96"/>
        <v>36000</v>
      </c>
      <c r="D347" s="160">
        <f t="shared" si="98"/>
        <v>1272</v>
      </c>
      <c r="E347" s="159">
        <f t="shared" si="97"/>
        <v>36000</v>
      </c>
      <c r="F347" s="161">
        <f t="shared" si="99"/>
        <v>1272</v>
      </c>
      <c r="G347" s="128"/>
      <c r="H347" s="145">
        <v>84</v>
      </c>
      <c r="I347" s="159">
        <f t="shared" si="100"/>
        <v>36000</v>
      </c>
      <c r="J347" s="160">
        <f t="shared" si="101"/>
        <v>1020</v>
      </c>
      <c r="K347" s="159">
        <f t="shared" si="102"/>
        <v>36346</v>
      </c>
      <c r="L347" s="161">
        <f t="shared" si="103"/>
        <v>1926</v>
      </c>
      <c r="M347" s="127"/>
      <c r="N347" s="145">
        <v>84</v>
      </c>
      <c r="O347" s="159">
        <f t="shared" si="104"/>
        <v>36346</v>
      </c>
      <c r="P347" s="160">
        <f t="shared" si="105"/>
        <v>1674</v>
      </c>
      <c r="Q347" s="159">
        <f t="shared" si="106"/>
        <v>36346</v>
      </c>
      <c r="R347" s="161">
        <f t="shared" si="107"/>
        <v>1674</v>
      </c>
      <c r="S347" s="127"/>
      <c r="T347" s="127"/>
      <c r="U347" s="128"/>
      <c r="V347" s="127"/>
      <c r="W347" s="122"/>
      <c r="X347" s="122"/>
      <c r="Y347" s="122"/>
      <c r="Z347" s="122"/>
      <c r="AA347" s="56"/>
      <c r="AB347" s="56"/>
      <c r="AC347" s="56"/>
      <c r="AD347" s="56"/>
    </row>
    <row r="348" spans="2:30">
      <c r="B348" s="145">
        <v>85</v>
      </c>
      <c r="C348" s="159">
        <f t="shared" si="96"/>
        <v>36429</v>
      </c>
      <c r="D348" s="160">
        <f t="shared" si="98"/>
        <v>955</v>
      </c>
      <c r="E348" s="159">
        <f t="shared" si="97"/>
        <v>36429</v>
      </c>
      <c r="F348" s="161">
        <f t="shared" si="99"/>
        <v>955</v>
      </c>
      <c r="G348" s="128"/>
      <c r="H348" s="145">
        <v>85</v>
      </c>
      <c r="I348" s="159">
        <f t="shared" si="100"/>
        <v>36429</v>
      </c>
      <c r="J348" s="160">
        <f t="shared" si="101"/>
        <v>700</v>
      </c>
      <c r="K348" s="159">
        <f t="shared" si="102"/>
        <v>36779</v>
      </c>
      <c r="L348" s="161">
        <f t="shared" si="103"/>
        <v>1615</v>
      </c>
      <c r="M348" s="127"/>
      <c r="N348" s="145">
        <v>85</v>
      </c>
      <c r="O348" s="159">
        <f t="shared" si="104"/>
        <v>36779</v>
      </c>
      <c r="P348" s="160">
        <f t="shared" si="105"/>
        <v>1360</v>
      </c>
      <c r="Q348" s="159">
        <f t="shared" si="106"/>
        <v>36779</v>
      </c>
      <c r="R348" s="161">
        <f t="shared" si="107"/>
        <v>1360</v>
      </c>
      <c r="S348" s="127"/>
      <c r="T348" s="127"/>
      <c r="U348" s="128"/>
      <c r="V348" s="127"/>
      <c r="W348" s="122"/>
      <c r="X348" s="122"/>
      <c r="Y348" s="122"/>
      <c r="Z348" s="122"/>
      <c r="AA348" s="56"/>
      <c r="AB348" s="56"/>
      <c r="AC348" s="56"/>
      <c r="AD348" s="56"/>
    </row>
    <row r="349" spans="2:30">
      <c r="B349" s="145">
        <v>86</v>
      </c>
      <c r="C349" s="159">
        <f t="shared" si="96"/>
        <v>36857</v>
      </c>
      <c r="D349" s="160">
        <f t="shared" si="98"/>
        <v>638</v>
      </c>
      <c r="E349" s="159">
        <f t="shared" si="97"/>
        <v>36857</v>
      </c>
      <c r="F349" s="161">
        <f t="shared" si="99"/>
        <v>638</v>
      </c>
      <c r="G349" s="128"/>
      <c r="H349" s="145">
        <v>86</v>
      </c>
      <c r="I349" s="159">
        <f t="shared" si="100"/>
        <v>36857</v>
      </c>
      <c r="J349" s="160">
        <f t="shared" si="101"/>
        <v>380</v>
      </c>
      <c r="K349" s="159">
        <f t="shared" si="102"/>
        <v>37212</v>
      </c>
      <c r="L349" s="161">
        <f t="shared" si="103"/>
        <v>1304</v>
      </c>
      <c r="M349" s="127"/>
      <c r="N349" s="145">
        <v>86</v>
      </c>
      <c r="O349" s="159">
        <f t="shared" si="104"/>
        <v>37212</v>
      </c>
      <c r="P349" s="160">
        <f t="shared" si="105"/>
        <v>1046</v>
      </c>
      <c r="Q349" s="159">
        <f t="shared" si="106"/>
        <v>37212</v>
      </c>
      <c r="R349" s="161">
        <f t="shared" si="107"/>
        <v>1046</v>
      </c>
      <c r="S349" s="127"/>
      <c r="T349" s="127"/>
      <c r="U349" s="128"/>
      <c r="V349" s="127"/>
      <c r="W349" s="122"/>
      <c r="X349" s="122"/>
      <c r="Y349" s="122"/>
      <c r="Z349" s="122"/>
      <c r="AA349" s="56"/>
      <c r="AB349" s="56"/>
      <c r="AC349" s="56"/>
      <c r="AD349" s="56"/>
    </row>
    <row r="350" spans="2:30">
      <c r="B350" s="145">
        <v>87</v>
      </c>
      <c r="C350" s="159">
        <f t="shared" si="96"/>
        <v>37286</v>
      </c>
      <c r="D350" s="160">
        <f t="shared" si="98"/>
        <v>321</v>
      </c>
      <c r="E350" s="159">
        <f t="shared" si="97"/>
        <v>37286</v>
      </c>
      <c r="F350" s="161">
        <f t="shared" si="99"/>
        <v>321</v>
      </c>
      <c r="G350" s="128"/>
      <c r="H350" s="145">
        <v>87</v>
      </c>
      <c r="I350" s="159">
        <f t="shared" si="100"/>
        <v>37286</v>
      </c>
      <c r="J350" s="160">
        <f t="shared" si="101"/>
        <v>60</v>
      </c>
      <c r="K350" s="159">
        <f t="shared" si="102"/>
        <v>37644</v>
      </c>
      <c r="L350" s="161">
        <f t="shared" si="103"/>
        <v>993</v>
      </c>
      <c r="M350" s="127"/>
      <c r="N350" s="145">
        <v>87</v>
      </c>
      <c r="O350" s="159">
        <f t="shared" si="104"/>
        <v>37644</v>
      </c>
      <c r="P350" s="160">
        <f t="shared" si="105"/>
        <v>732</v>
      </c>
      <c r="Q350" s="159">
        <f t="shared" si="106"/>
        <v>37644</v>
      </c>
      <c r="R350" s="161">
        <f t="shared" si="107"/>
        <v>732</v>
      </c>
      <c r="S350" s="127"/>
      <c r="T350" s="127"/>
      <c r="U350" s="128"/>
      <c r="V350" s="127"/>
      <c r="W350" s="122"/>
      <c r="X350" s="122"/>
      <c r="Y350" s="122"/>
      <c r="Z350" s="122"/>
      <c r="AA350" s="56"/>
      <c r="AB350" s="56"/>
      <c r="AC350" s="56"/>
      <c r="AD350" s="56"/>
    </row>
    <row r="351" spans="2:30">
      <c r="B351" s="145">
        <v>88</v>
      </c>
      <c r="C351" s="159">
        <f t="shared" si="96"/>
        <v>37714</v>
      </c>
      <c r="D351" s="160">
        <f t="shared" si="98"/>
        <v>4</v>
      </c>
      <c r="E351" s="159">
        <f t="shared" si="97"/>
        <v>37714</v>
      </c>
      <c r="F351" s="161">
        <f t="shared" si="99"/>
        <v>4</v>
      </c>
      <c r="G351" s="128"/>
      <c r="H351" s="154">
        <v>88</v>
      </c>
      <c r="I351" s="188">
        <f t="shared" si="100"/>
        <v>37714</v>
      </c>
      <c r="J351" s="189">
        <f t="shared" si="101"/>
        <v>-260</v>
      </c>
      <c r="K351" s="188">
        <f t="shared" si="102"/>
        <v>38077</v>
      </c>
      <c r="L351" s="203">
        <f t="shared" si="103"/>
        <v>682</v>
      </c>
      <c r="M351" s="127"/>
      <c r="N351" s="145">
        <v>88</v>
      </c>
      <c r="O351" s="159">
        <f t="shared" si="104"/>
        <v>38077</v>
      </c>
      <c r="P351" s="160">
        <f t="shared" si="105"/>
        <v>418</v>
      </c>
      <c r="Q351" s="159">
        <f t="shared" si="106"/>
        <v>38077</v>
      </c>
      <c r="R351" s="161">
        <f t="shared" si="107"/>
        <v>418</v>
      </c>
      <c r="S351" s="127"/>
      <c r="T351" s="127"/>
      <c r="U351" s="128"/>
      <c r="V351" s="127"/>
      <c r="W351" s="122"/>
      <c r="X351" s="122"/>
      <c r="Y351" s="122"/>
      <c r="Z351" s="122"/>
      <c r="AA351" s="56"/>
      <c r="AB351" s="56"/>
      <c r="AC351" s="56"/>
      <c r="AD351" s="56"/>
    </row>
    <row r="352" spans="2:30" ht="17.25" thickBot="1">
      <c r="B352" s="148">
        <v>89</v>
      </c>
      <c r="C352" s="197">
        <f t="shared" si="96"/>
        <v>38143</v>
      </c>
      <c r="D352" s="198">
        <f t="shared" si="98"/>
        <v>-313</v>
      </c>
      <c r="E352" s="197">
        <f t="shared" si="97"/>
        <v>38143</v>
      </c>
      <c r="F352" s="199">
        <f t="shared" si="99"/>
        <v>-313</v>
      </c>
      <c r="G352" s="128"/>
      <c r="H352" s="147">
        <v>89</v>
      </c>
      <c r="I352" s="165">
        <f t="shared" si="100"/>
        <v>38143</v>
      </c>
      <c r="J352" s="166">
        <f t="shared" si="101"/>
        <v>-580</v>
      </c>
      <c r="K352" s="165">
        <f t="shared" si="102"/>
        <v>38510</v>
      </c>
      <c r="L352" s="167">
        <f t="shared" si="103"/>
        <v>371</v>
      </c>
      <c r="M352" s="127"/>
      <c r="N352" s="147">
        <v>89</v>
      </c>
      <c r="O352" s="165">
        <f t="shared" si="104"/>
        <v>38510</v>
      </c>
      <c r="P352" s="166">
        <f t="shared" si="105"/>
        <v>104</v>
      </c>
      <c r="Q352" s="165">
        <f t="shared" si="106"/>
        <v>38510</v>
      </c>
      <c r="R352" s="167">
        <f t="shared" si="107"/>
        <v>104</v>
      </c>
      <c r="S352" s="127"/>
      <c r="T352" s="127"/>
      <c r="U352" s="128"/>
      <c r="V352" s="127"/>
      <c r="W352" s="122"/>
      <c r="X352" s="122"/>
      <c r="Y352" s="122"/>
      <c r="Z352" s="122"/>
      <c r="AA352" s="56"/>
      <c r="AB352" s="56"/>
      <c r="AC352" s="56"/>
      <c r="AD352" s="56"/>
    </row>
    <row r="353" spans="2:30" ht="17.25" thickBot="1">
      <c r="B353" s="149">
        <v>90</v>
      </c>
      <c r="C353" s="168">
        <f t="shared" si="96"/>
        <v>38571</v>
      </c>
      <c r="D353" s="169">
        <f t="shared" si="98"/>
        <v>-630</v>
      </c>
      <c r="E353" s="168">
        <f t="shared" si="97"/>
        <v>38571</v>
      </c>
      <c r="F353" s="170">
        <f t="shared" si="99"/>
        <v>-630</v>
      </c>
      <c r="G353" s="128"/>
      <c r="H353" s="149">
        <v>90</v>
      </c>
      <c r="I353" s="168">
        <f t="shared" si="100"/>
        <v>38571</v>
      </c>
      <c r="J353" s="169">
        <f t="shared" si="101"/>
        <v>-900</v>
      </c>
      <c r="K353" s="168">
        <f t="shared" si="102"/>
        <v>38942</v>
      </c>
      <c r="L353" s="170">
        <f t="shared" si="103"/>
        <v>60</v>
      </c>
      <c r="M353" s="127"/>
      <c r="N353" s="155">
        <v>90</v>
      </c>
      <c r="O353" s="204">
        <f t="shared" si="104"/>
        <v>38942</v>
      </c>
      <c r="P353" s="205">
        <f t="shared" si="105"/>
        <v>-210</v>
      </c>
      <c r="Q353" s="204">
        <f t="shared" si="106"/>
        <v>38942</v>
      </c>
      <c r="R353" s="206">
        <f t="shared" si="107"/>
        <v>-210</v>
      </c>
      <c r="S353" s="127"/>
      <c r="T353" s="127"/>
      <c r="U353" s="128"/>
      <c r="V353" s="127"/>
      <c r="W353" s="122"/>
      <c r="X353" s="122"/>
      <c r="Y353" s="122"/>
      <c r="Z353" s="122"/>
      <c r="AA353" s="56"/>
      <c r="AB353" s="56"/>
      <c r="AC353" s="56"/>
      <c r="AD353" s="56"/>
    </row>
    <row r="354" spans="2:30">
      <c r="B354" s="150">
        <v>91</v>
      </c>
      <c r="C354" s="171">
        <f t="shared" si="96"/>
        <v>39000</v>
      </c>
      <c r="D354" s="172">
        <f t="shared" si="98"/>
        <v>-947</v>
      </c>
      <c r="E354" s="171">
        <f t="shared" si="97"/>
        <v>39000</v>
      </c>
      <c r="F354" s="173">
        <f t="shared" si="99"/>
        <v>-947</v>
      </c>
      <c r="G354" s="128"/>
      <c r="H354" s="151">
        <v>91</v>
      </c>
      <c r="I354" s="200">
        <f t="shared" si="100"/>
        <v>39000</v>
      </c>
      <c r="J354" s="201">
        <f t="shared" si="101"/>
        <v>-1220</v>
      </c>
      <c r="K354" s="200">
        <f t="shared" si="102"/>
        <v>39375</v>
      </c>
      <c r="L354" s="202">
        <f t="shared" si="103"/>
        <v>-251</v>
      </c>
      <c r="M354" s="127"/>
      <c r="N354" s="150">
        <v>91</v>
      </c>
      <c r="O354" s="171">
        <f t="shared" si="104"/>
        <v>39375</v>
      </c>
      <c r="P354" s="172">
        <f t="shared" si="105"/>
        <v>-524</v>
      </c>
      <c r="Q354" s="171">
        <f t="shared" si="106"/>
        <v>39375</v>
      </c>
      <c r="R354" s="173">
        <f t="shared" si="107"/>
        <v>-524</v>
      </c>
      <c r="S354" s="127"/>
      <c r="T354" s="127"/>
      <c r="U354" s="128"/>
      <c r="V354" s="127"/>
      <c r="W354" s="122"/>
      <c r="X354" s="122"/>
      <c r="Y354" s="122"/>
      <c r="Z354" s="122"/>
      <c r="AA354" s="56"/>
      <c r="AB354" s="56"/>
      <c r="AC354" s="56"/>
      <c r="AD354" s="56"/>
    </row>
    <row r="355" spans="2:30">
      <c r="B355" s="145">
        <v>92</v>
      </c>
      <c r="C355" s="159">
        <f t="shared" si="96"/>
        <v>39429</v>
      </c>
      <c r="D355" s="160">
        <f t="shared" si="98"/>
        <v>-1264</v>
      </c>
      <c r="E355" s="159">
        <f t="shared" si="97"/>
        <v>39429</v>
      </c>
      <c r="F355" s="161">
        <f t="shared" si="99"/>
        <v>-1264</v>
      </c>
      <c r="G355" s="128"/>
      <c r="H355" s="145">
        <v>92</v>
      </c>
      <c r="I355" s="159">
        <f t="shared" si="100"/>
        <v>39429</v>
      </c>
      <c r="J355" s="160">
        <f t="shared" si="101"/>
        <v>-1540</v>
      </c>
      <c r="K355" s="159">
        <f t="shared" si="102"/>
        <v>39808</v>
      </c>
      <c r="L355" s="161">
        <f t="shared" si="103"/>
        <v>-562</v>
      </c>
      <c r="M355" s="127"/>
      <c r="N355" s="145">
        <v>92</v>
      </c>
      <c r="O355" s="159">
        <f t="shared" si="104"/>
        <v>39808</v>
      </c>
      <c r="P355" s="160">
        <f t="shared" si="105"/>
        <v>-838</v>
      </c>
      <c r="Q355" s="159">
        <f t="shared" si="106"/>
        <v>39808</v>
      </c>
      <c r="R355" s="161">
        <f t="shared" si="107"/>
        <v>-838</v>
      </c>
      <c r="S355" s="127"/>
      <c r="T355" s="127"/>
      <c r="U355" s="128"/>
      <c r="V355" s="127"/>
      <c r="W355" s="122"/>
      <c r="X355" s="122"/>
      <c r="Y355" s="122"/>
      <c r="Z355" s="122"/>
      <c r="AA355" s="56"/>
      <c r="AB355" s="56"/>
      <c r="AC355" s="56"/>
      <c r="AD355" s="56"/>
    </row>
    <row r="356" spans="2:30">
      <c r="B356" s="145">
        <v>93</v>
      </c>
      <c r="C356" s="159">
        <f t="shared" si="96"/>
        <v>39857</v>
      </c>
      <c r="D356" s="160">
        <f t="shared" si="98"/>
        <v>-1581</v>
      </c>
      <c r="E356" s="159">
        <f t="shared" si="97"/>
        <v>39857</v>
      </c>
      <c r="F356" s="161">
        <f t="shared" si="99"/>
        <v>-1581</v>
      </c>
      <c r="G356" s="128"/>
      <c r="H356" s="145">
        <v>93</v>
      </c>
      <c r="I356" s="159">
        <f t="shared" si="100"/>
        <v>39857</v>
      </c>
      <c r="J356" s="160">
        <f t="shared" si="101"/>
        <v>-1860</v>
      </c>
      <c r="K356" s="159">
        <f t="shared" si="102"/>
        <v>40240</v>
      </c>
      <c r="L356" s="161">
        <f t="shared" si="103"/>
        <v>-873</v>
      </c>
      <c r="M356" s="127"/>
      <c r="N356" s="145">
        <v>93</v>
      </c>
      <c r="O356" s="159">
        <f t="shared" si="104"/>
        <v>40240</v>
      </c>
      <c r="P356" s="160">
        <f t="shared" si="105"/>
        <v>-1152</v>
      </c>
      <c r="Q356" s="159">
        <f t="shared" si="106"/>
        <v>40240</v>
      </c>
      <c r="R356" s="161">
        <f t="shared" si="107"/>
        <v>-1152</v>
      </c>
      <c r="S356" s="127"/>
      <c r="T356" s="127"/>
      <c r="U356" s="128"/>
      <c r="V356" s="127"/>
      <c r="W356" s="122"/>
      <c r="X356" s="122"/>
      <c r="Y356" s="122"/>
      <c r="Z356" s="122"/>
      <c r="AA356" s="56"/>
      <c r="AB356" s="56"/>
      <c r="AC356" s="56"/>
      <c r="AD356" s="56"/>
    </row>
    <row r="357" spans="2:30">
      <c r="B357" s="145">
        <v>94</v>
      </c>
      <c r="C357" s="159">
        <f t="shared" si="96"/>
        <v>40286</v>
      </c>
      <c r="D357" s="160">
        <f t="shared" si="98"/>
        <v>-1898</v>
      </c>
      <c r="E357" s="159">
        <f t="shared" si="97"/>
        <v>40286</v>
      </c>
      <c r="F357" s="161">
        <f t="shared" si="99"/>
        <v>-1898</v>
      </c>
      <c r="G357" s="128"/>
      <c r="H357" s="145">
        <v>94</v>
      </c>
      <c r="I357" s="159">
        <f t="shared" si="100"/>
        <v>40286</v>
      </c>
      <c r="J357" s="160">
        <f t="shared" si="101"/>
        <v>-2180</v>
      </c>
      <c r="K357" s="159">
        <f t="shared" si="102"/>
        <v>40673</v>
      </c>
      <c r="L357" s="161">
        <f t="shared" si="103"/>
        <v>-1184</v>
      </c>
      <c r="M357" s="127"/>
      <c r="N357" s="145">
        <v>94</v>
      </c>
      <c r="O357" s="159">
        <f t="shared" si="104"/>
        <v>40673</v>
      </c>
      <c r="P357" s="160">
        <f t="shared" si="105"/>
        <v>-1466</v>
      </c>
      <c r="Q357" s="159">
        <f t="shared" si="106"/>
        <v>40673</v>
      </c>
      <c r="R357" s="161">
        <f t="shared" si="107"/>
        <v>-1466</v>
      </c>
      <c r="S357" s="127"/>
      <c r="T357" s="127"/>
      <c r="U357" s="128"/>
      <c r="V357" s="127"/>
      <c r="W357" s="122"/>
      <c r="X357" s="122"/>
      <c r="Y357" s="122"/>
      <c r="Z357" s="122"/>
      <c r="AA357" s="56"/>
      <c r="AB357" s="56"/>
      <c r="AC357" s="56"/>
      <c r="AD357" s="56"/>
    </row>
    <row r="358" spans="2:30">
      <c r="B358" s="145">
        <v>95</v>
      </c>
      <c r="C358" s="159">
        <f t="shared" si="96"/>
        <v>40714</v>
      </c>
      <c r="D358" s="160">
        <f t="shared" si="98"/>
        <v>-2215</v>
      </c>
      <c r="E358" s="159">
        <f t="shared" si="97"/>
        <v>40714</v>
      </c>
      <c r="F358" s="161">
        <f t="shared" si="99"/>
        <v>-2215</v>
      </c>
      <c r="G358" s="128"/>
      <c r="H358" s="145">
        <v>95</v>
      </c>
      <c r="I358" s="159">
        <f t="shared" si="100"/>
        <v>40714</v>
      </c>
      <c r="J358" s="160">
        <f t="shared" si="101"/>
        <v>-2500</v>
      </c>
      <c r="K358" s="159">
        <f t="shared" si="102"/>
        <v>41106</v>
      </c>
      <c r="L358" s="161">
        <f t="shared" si="103"/>
        <v>-1495</v>
      </c>
      <c r="M358" s="127"/>
      <c r="N358" s="145">
        <v>95</v>
      </c>
      <c r="O358" s="159">
        <f t="shared" si="104"/>
        <v>41106</v>
      </c>
      <c r="P358" s="160">
        <f t="shared" si="105"/>
        <v>-1780</v>
      </c>
      <c r="Q358" s="159">
        <f t="shared" si="106"/>
        <v>41106</v>
      </c>
      <c r="R358" s="161">
        <f t="shared" si="107"/>
        <v>-1780</v>
      </c>
      <c r="S358" s="127"/>
      <c r="T358" s="127"/>
      <c r="U358" s="128"/>
      <c r="V358" s="127"/>
      <c r="W358" s="122"/>
      <c r="X358" s="122"/>
      <c r="Y358" s="122"/>
      <c r="Z358" s="122"/>
      <c r="AA358" s="56"/>
      <c r="AB358" s="56"/>
      <c r="AC358" s="56"/>
      <c r="AD358" s="56"/>
    </row>
    <row r="359" spans="2:30">
      <c r="B359" s="145">
        <v>96</v>
      </c>
      <c r="C359" s="159">
        <f t="shared" si="96"/>
        <v>41143</v>
      </c>
      <c r="D359" s="160">
        <f t="shared" si="98"/>
        <v>-2532</v>
      </c>
      <c r="E359" s="159">
        <f t="shared" si="97"/>
        <v>41143</v>
      </c>
      <c r="F359" s="161">
        <f t="shared" si="99"/>
        <v>-2532</v>
      </c>
      <c r="G359" s="128"/>
      <c r="H359" s="145">
        <v>96</v>
      </c>
      <c r="I359" s="159">
        <f t="shared" si="100"/>
        <v>41143</v>
      </c>
      <c r="J359" s="160">
        <f t="shared" si="101"/>
        <v>-2820</v>
      </c>
      <c r="K359" s="159">
        <f t="shared" si="102"/>
        <v>41538</v>
      </c>
      <c r="L359" s="161">
        <f t="shared" si="103"/>
        <v>-1806</v>
      </c>
      <c r="M359" s="127"/>
      <c r="N359" s="145">
        <v>96</v>
      </c>
      <c r="O359" s="159">
        <f t="shared" si="104"/>
        <v>41538</v>
      </c>
      <c r="P359" s="160">
        <f t="shared" si="105"/>
        <v>-2094</v>
      </c>
      <c r="Q359" s="159">
        <f t="shared" si="106"/>
        <v>41538</v>
      </c>
      <c r="R359" s="161">
        <f t="shared" si="107"/>
        <v>-2094</v>
      </c>
      <c r="S359" s="127"/>
      <c r="T359" s="127"/>
      <c r="U359" s="128"/>
      <c r="V359" s="127"/>
      <c r="W359" s="122"/>
      <c r="X359" s="122"/>
      <c r="Y359" s="122"/>
      <c r="Z359" s="122"/>
      <c r="AA359" s="56"/>
      <c r="AB359" s="56"/>
      <c r="AC359" s="56"/>
      <c r="AD359" s="56"/>
    </row>
    <row r="360" spans="2:30">
      <c r="B360" s="145">
        <v>97</v>
      </c>
      <c r="C360" s="159">
        <f>ROUND(B360*$E$23,0)</f>
        <v>41571</v>
      </c>
      <c r="D360" s="160">
        <f t="shared" si="98"/>
        <v>-2849</v>
      </c>
      <c r="E360" s="159">
        <f>ROUND(B360*$E$23,0)</f>
        <v>41571</v>
      </c>
      <c r="F360" s="161">
        <f t="shared" si="99"/>
        <v>-2849</v>
      </c>
      <c r="G360" s="128"/>
      <c r="H360" s="145">
        <v>97</v>
      </c>
      <c r="I360" s="159">
        <f t="shared" si="100"/>
        <v>41571</v>
      </c>
      <c r="J360" s="160">
        <f t="shared" si="101"/>
        <v>-3140</v>
      </c>
      <c r="K360" s="159">
        <f t="shared" si="102"/>
        <v>41971</v>
      </c>
      <c r="L360" s="161">
        <f t="shared" si="103"/>
        <v>-2117</v>
      </c>
      <c r="M360" s="127"/>
      <c r="N360" s="145">
        <v>97</v>
      </c>
      <c r="O360" s="159">
        <f t="shared" si="104"/>
        <v>41971</v>
      </c>
      <c r="P360" s="160">
        <f t="shared" si="105"/>
        <v>-2408</v>
      </c>
      <c r="Q360" s="159">
        <f t="shared" si="106"/>
        <v>41971</v>
      </c>
      <c r="R360" s="161">
        <f t="shared" si="107"/>
        <v>-2408</v>
      </c>
      <c r="S360" s="127"/>
      <c r="T360" s="127"/>
      <c r="U360" s="128"/>
      <c r="V360" s="127"/>
      <c r="W360" s="122"/>
      <c r="X360" s="122"/>
      <c r="Y360" s="122"/>
      <c r="Z360" s="122"/>
      <c r="AA360" s="56"/>
      <c r="AB360" s="56"/>
      <c r="AC360" s="56"/>
      <c r="AD360" s="56"/>
    </row>
    <row r="361" spans="2:30">
      <c r="B361" s="145">
        <v>98</v>
      </c>
      <c r="C361" s="159">
        <f>ROUND(B361*$E$23,0)</f>
        <v>42000</v>
      </c>
      <c r="D361" s="160">
        <f t="shared" si="98"/>
        <v>-3166</v>
      </c>
      <c r="E361" s="159">
        <f>ROUND(B361*$E$23,0)</f>
        <v>42000</v>
      </c>
      <c r="F361" s="161">
        <f t="shared" si="99"/>
        <v>-3166</v>
      </c>
      <c r="G361" s="128"/>
      <c r="H361" s="145">
        <v>98</v>
      </c>
      <c r="I361" s="159">
        <f t="shared" si="100"/>
        <v>42000</v>
      </c>
      <c r="J361" s="160">
        <f t="shared" si="101"/>
        <v>-3460</v>
      </c>
      <c r="K361" s="159">
        <f t="shared" si="102"/>
        <v>42404</v>
      </c>
      <c r="L361" s="161">
        <f t="shared" si="103"/>
        <v>-2428</v>
      </c>
      <c r="M361" s="127"/>
      <c r="N361" s="145">
        <v>98</v>
      </c>
      <c r="O361" s="159">
        <f t="shared" si="104"/>
        <v>42404</v>
      </c>
      <c r="P361" s="160">
        <f t="shared" si="105"/>
        <v>-2722</v>
      </c>
      <c r="Q361" s="159">
        <f t="shared" si="106"/>
        <v>42404</v>
      </c>
      <c r="R361" s="161">
        <f t="shared" si="107"/>
        <v>-2722</v>
      </c>
      <c r="S361" s="127"/>
      <c r="T361" s="127"/>
      <c r="U361" s="128"/>
      <c r="V361" s="127"/>
      <c r="W361" s="122"/>
      <c r="X361" s="122"/>
      <c r="Y361" s="122"/>
      <c r="Z361" s="122"/>
      <c r="AA361" s="56"/>
      <c r="AB361" s="56"/>
      <c r="AC361" s="56"/>
      <c r="AD361" s="56"/>
    </row>
    <row r="362" spans="2:30">
      <c r="B362" s="145">
        <v>99</v>
      </c>
      <c r="C362" s="159">
        <f>ROUND(B362*$E$23,0)</f>
        <v>42429</v>
      </c>
      <c r="D362" s="160">
        <f t="shared" si="98"/>
        <v>-3483</v>
      </c>
      <c r="E362" s="159">
        <f>ROUND(B362*$E$23,0)</f>
        <v>42429</v>
      </c>
      <c r="F362" s="161">
        <f t="shared" si="99"/>
        <v>-3483</v>
      </c>
      <c r="G362" s="128"/>
      <c r="H362" s="145">
        <v>99</v>
      </c>
      <c r="I362" s="159">
        <f t="shared" si="100"/>
        <v>42429</v>
      </c>
      <c r="J362" s="160">
        <f t="shared" si="101"/>
        <v>-3780</v>
      </c>
      <c r="K362" s="159">
        <f t="shared" si="102"/>
        <v>42837</v>
      </c>
      <c r="L362" s="161">
        <f t="shared" si="103"/>
        <v>-2739</v>
      </c>
      <c r="M362" s="127"/>
      <c r="N362" s="145">
        <v>99</v>
      </c>
      <c r="O362" s="159">
        <f t="shared" si="104"/>
        <v>42837</v>
      </c>
      <c r="P362" s="160">
        <f t="shared" si="105"/>
        <v>-3036</v>
      </c>
      <c r="Q362" s="159">
        <f t="shared" si="106"/>
        <v>42837</v>
      </c>
      <c r="R362" s="161">
        <f t="shared" si="107"/>
        <v>-3036</v>
      </c>
      <c r="S362" s="127"/>
      <c r="T362" s="127"/>
      <c r="U362" s="128"/>
      <c r="V362" s="127"/>
      <c r="W362" s="122"/>
      <c r="X362" s="122"/>
      <c r="Y362" s="122"/>
      <c r="Z362" s="122"/>
      <c r="AA362" s="56"/>
      <c r="AB362" s="56"/>
      <c r="AC362" s="56"/>
      <c r="AD362" s="56"/>
    </row>
    <row r="363" spans="2:30" ht="17.25" thickBot="1">
      <c r="B363" s="152">
        <v>100</v>
      </c>
      <c r="C363" s="177">
        <f>ROUND(B363*$E$23,0)</f>
        <v>42857</v>
      </c>
      <c r="D363" s="178">
        <f t="shared" si="98"/>
        <v>-3800</v>
      </c>
      <c r="E363" s="177">
        <f>ROUND(B363*$E$23,0)</f>
        <v>42857</v>
      </c>
      <c r="F363" s="179">
        <f t="shared" si="99"/>
        <v>-3800</v>
      </c>
      <c r="G363" s="128"/>
      <c r="H363" s="152">
        <v>100</v>
      </c>
      <c r="I363" s="177">
        <f t="shared" si="100"/>
        <v>42857</v>
      </c>
      <c r="J363" s="178">
        <f t="shared" si="101"/>
        <v>-4100</v>
      </c>
      <c r="K363" s="177">
        <f t="shared" si="102"/>
        <v>43269</v>
      </c>
      <c r="L363" s="179">
        <f t="shared" si="103"/>
        <v>-3050</v>
      </c>
      <c r="M363" s="127"/>
      <c r="N363" s="152">
        <v>100</v>
      </c>
      <c r="O363" s="177">
        <f t="shared" si="104"/>
        <v>43269</v>
      </c>
      <c r="P363" s="178">
        <f t="shared" si="105"/>
        <v>-3350</v>
      </c>
      <c r="Q363" s="177">
        <f t="shared" si="106"/>
        <v>43269</v>
      </c>
      <c r="R363" s="179">
        <f t="shared" si="107"/>
        <v>-3350</v>
      </c>
      <c r="S363" s="127"/>
      <c r="T363" s="127"/>
      <c r="U363" s="128"/>
      <c r="V363" s="127"/>
      <c r="W363" s="122"/>
      <c r="X363" s="122"/>
      <c r="Y363" s="122"/>
      <c r="Z363" s="122"/>
      <c r="AA363" s="56"/>
      <c r="AB363" s="56"/>
      <c r="AC363" s="56"/>
      <c r="AD363" s="56"/>
    </row>
    <row r="364" spans="2:30" ht="17.25" thickBot="1">
      <c r="B364" s="315" t="s">
        <v>72</v>
      </c>
      <c r="C364" s="315"/>
      <c r="D364" s="315"/>
      <c r="E364" s="316" t="s">
        <v>80</v>
      </c>
      <c r="F364" s="316"/>
      <c r="G364" s="128"/>
      <c r="H364" s="315" t="s">
        <v>72</v>
      </c>
      <c r="I364" s="315"/>
      <c r="J364" s="315"/>
      <c r="K364" s="316" t="s">
        <v>81</v>
      </c>
      <c r="L364" s="316"/>
      <c r="M364" s="127"/>
      <c r="N364" s="315" t="s">
        <v>72</v>
      </c>
      <c r="O364" s="315"/>
      <c r="P364" s="315"/>
      <c r="Q364" s="316" t="s">
        <v>83</v>
      </c>
      <c r="R364" s="316"/>
      <c r="S364" s="127"/>
      <c r="T364" s="127"/>
      <c r="U364" s="128"/>
      <c r="V364" s="127"/>
      <c r="W364" s="122"/>
      <c r="X364" s="122"/>
      <c r="Y364" s="122"/>
      <c r="Z364" s="122"/>
      <c r="AA364" s="56"/>
      <c r="AB364" s="56"/>
      <c r="AC364" s="56"/>
      <c r="AD364" s="56"/>
    </row>
    <row r="365" spans="2:30" ht="17.25" thickBot="1">
      <c r="B365" s="315" t="s">
        <v>74</v>
      </c>
      <c r="C365" s="315"/>
      <c r="D365" s="315"/>
      <c r="E365" s="316" t="s">
        <v>75</v>
      </c>
      <c r="F365" s="316"/>
      <c r="G365" s="122"/>
      <c r="H365" s="315" t="s">
        <v>74</v>
      </c>
      <c r="I365" s="315"/>
      <c r="J365" s="315"/>
      <c r="K365" s="316" t="s">
        <v>82</v>
      </c>
      <c r="L365" s="316"/>
      <c r="M365" s="122"/>
      <c r="N365" s="315" t="s">
        <v>74</v>
      </c>
      <c r="O365" s="315"/>
      <c r="P365" s="315"/>
      <c r="Q365" s="316" t="s">
        <v>75</v>
      </c>
      <c r="R365" s="316"/>
      <c r="S365" s="122"/>
      <c r="T365" s="122"/>
      <c r="U365" s="122"/>
      <c r="V365" s="122"/>
      <c r="W365" s="122"/>
      <c r="X365" s="122"/>
      <c r="Y365" s="122"/>
      <c r="Z365" s="122"/>
      <c r="AA365" s="56"/>
      <c r="AB365" s="56"/>
      <c r="AC365" s="56"/>
      <c r="AD365" s="56"/>
    </row>
    <row r="366" spans="2:30">
      <c r="B366" s="153"/>
      <c r="C366" s="153"/>
      <c r="D366" s="153"/>
      <c r="E366" s="153"/>
      <c r="F366" s="153"/>
      <c r="G366" s="122"/>
      <c r="H366" s="153"/>
      <c r="I366" s="153"/>
      <c r="J366" s="153"/>
      <c r="K366" s="153"/>
      <c r="L366" s="153"/>
      <c r="M366" s="122"/>
      <c r="N366" s="153"/>
      <c r="O366" s="153"/>
      <c r="P366" s="153"/>
      <c r="Q366" s="153"/>
      <c r="R366" s="153"/>
      <c r="S366" s="122"/>
      <c r="T366" s="122"/>
      <c r="U366" s="122"/>
      <c r="V366" s="122"/>
      <c r="W366" s="122"/>
      <c r="X366" s="122"/>
      <c r="Y366" s="122"/>
      <c r="Z366" s="122"/>
      <c r="AA366" s="56"/>
      <c r="AB366" s="56"/>
      <c r="AC366" s="56"/>
      <c r="AD366" s="56"/>
    </row>
    <row r="367" spans="2:30">
      <c r="B367" s="153"/>
      <c r="C367" s="153"/>
      <c r="D367" s="153"/>
      <c r="E367" s="153"/>
      <c r="F367" s="153"/>
      <c r="G367" s="122"/>
      <c r="H367" s="153"/>
      <c r="I367" s="153"/>
      <c r="J367" s="153"/>
      <c r="K367" s="153"/>
      <c r="L367" s="153"/>
      <c r="M367" s="122"/>
      <c r="N367" s="153"/>
      <c r="O367" s="153"/>
      <c r="P367" s="153"/>
      <c r="Q367" s="153"/>
      <c r="R367" s="153"/>
      <c r="S367" s="122"/>
      <c r="T367" s="122"/>
      <c r="U367" s="122"/>
      <c r="V367" s="122"/>
      <c r="W367" s="122"/>
      <c r="X367" s="122"/>
      <c r="Y367" s="122"/>
      <c r="Z367" s="122"/>
      <c r="AA367" s="56"/>
      <c r="AB367" s="56"/>
      <c r="AC367" s="56"/>
      <c r="AD367" s="56"/>
    </row>
    <row r="368" spans="2:30">
      <c r="B368" s="153"/>
      <c r="C368" s="153"/>
      <c r="D368" s="153"/>
      <c r="E368" s="153"/>
      <c r="F368" s="153"/>
      <c r="G368" s="116"/>
      <c r="H368" s="153"/>
      <c r="I368" s="153"/>
      <c r="J368" s="153"/>
      <c r="K368" s="153"/>
      <c r="L368" s="153"/>
      <c r="M368" s="116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</row>
    <row r="369" spans="2:26">
      <c r="B369" s="153"/>
      <c r="C369" s="153"/>
      <c r="D369" s="153"/>
      <c r="E369" s="153"/>
      <c r="F369" s="153"/>
      <c r="G369" s="116"/>
      <c r="H369" s="153"/>
      <c r="I369" s="153"/>
      <c r="J369" s="153"/>
      <c r="K369" s="153"/>
      <c r="L369" s="153"/>
      <c r="M369" s="116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</row>
    <row r="370" spans="2:26">
      <c r="B370" s="153"/>
      <c r="C370" s="153"/>
      <c r="D370" s="153"/>
      <c r="E370" s="153"/>
      <c r="F370" s="153"/>
      <c r="G370" s="116"/>
      <c r="H370" s="153"/>
      <c r="I370" s="153"/>
      <c r="J370" s="153"/>
      <c r="K370" s="153"/>
      <c r="L370" s="153"/>
      <c r="M370" s="116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</row>
    <row r="371" spans="2:26">
      <c r="B371" s="153"/>
      <c r="C371" s="153"/>
      <c r="D371" s="153"/>
      <c r="E371" s="153"/>
      <c r="F371" s="153"/>
      <c r="G371" s="116"/>
      <c r="H371" s="153"/>
      <c r="I371" s="153"/>
      <c r="J371" s="153"/>
      <c r="K371" s="153"/>
      <c r="L371" s="153"/>
      <c r="M371" s="116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</row>
    <row r="372" spans="2:26">
      <c r="B372" s="153"/>
      <c r="C372" s="153"/>
      <c r="D372" s="153"/>
      <c r="E372" s="153"/>
      <c r="F372" s="153"/>
      <c r="G372" s="116"/>
      <c r="H372" s="153"/>
      <c r="I372" s="153"/>
      <c r="J372" s="153"/>
      <c r="K372" s="153"/>
      <c r="L372" s="153"/>
      <c r="M372" s="116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</row>
    <row r="373" spans="2:26">
      <c r="B373" s="153"/>
      <c r="C373" s="153"/>
      <c r="D373" s="153"/>
      <c r="E373" s="153"/>
      <c r="F373" s="153"/>
      <c r="G373" s="116"/>
      <c r="H373" s="153"/>
      <c r="I373" s="153"/>
      <c r="J373" s="153"/>
      <c r="K373" s="153"/>
      <c r="L373" s="153"/>
      <c r="M373" s="116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</row>
    <row r="374" spans="2:26">
      <c r="B374" s="153"/>
      <c r="C374" s="153"/>
      <c r="D374" s="153"/>
      <c r="E374" s="153"/>
      <c r="F374" s="153"/>
      <c r="G374" s="116"/>
      <c r="H374" s="153"/>
      <c r="I374" s="153"/>
      <c r="J374" s="153"/>
      <c r="K374" s="153"/>
      <c r="L374" s="153"/>
      <c r="M374" s="116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</row>
    <row r="375" spans="2:26">
      <c r="B375" s="153"/>
      <c r="C375" s="153"/>
      <c r="D375" s="153"/>
      <c r="E375" s="153"/>
      <c r="F375" s="153"/>
      <c r="G375" s="116"/>
      <c r="H375" s="153"/>
      <c r="I375" s="153"/>
      <c r="J375" s="153"/>
      <c r="K375" s="153"/>
      <c r="L375" s="153"/>
      <c r="M375" s="116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</row>
    <row r="376" spans="2:26">
      <c r="B376" s="153"/>
      <c r="C376" s="153"/>
      <c r="D376" s="153"/>
      <c r="E376" s="153"/>
      <c r="F376" s="153"/>
      <c r="G376" s="116"/>
      <c r="H376" s="153"/>
      <c r="I376" s="153"/>
      <c r="J376" s="153"/>
      <c r="K376" s="153"/>
      <c r="L376" s="153"/>
      <c r="M376" s="116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</row>
    <row r="377" spans="2:26">
      <c r="B377" s="153"/>
      <c r="C377" s="153"/>
      <c r="D377" s="153"/>
      <c r="E377" s="153"/>
      <c r="F377" s="153"/>
      <c r="G377" s="116"/>
      <c r="H377" s="153"/>
      <c r="I377" s="153"/>
      <c r="J377" s="153"/>
      <c r="K377" s="153"/>
      <c r="L377" s="153"/>
      <c r="M377" s="116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</row>
    <row r="378" spans="2:26">
      <c r="B378" s="153"/>
      <c r="C378" s="153"/>
      <c r="D378" s="153"/>
      <c r="E378" s="153"/>
      <c r="F378" s="153"/>
      <c r="G378" s="116"/>
      <c r="H378" s="153"/>
      <c r="I378" s="153"/>
      <c r="J378" s="153"/>
      <c r="K378" s="153"/>
      <c r="L378" s="153"/>
      <c r="M378" s="116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</row>
    <row r="379" spans="2:26">
      <c r="B379" s="153"/>
      <c r="C379" s="153"/>
      <c r="D379" s="153"/>
      <c r="E379" s="153"/>
      <c r="F379" s="153"/>
      <c r="G379" s="116"/>
      <c r="H379" s="153"/>
      <c r="I379" s="153"/>
      <c r="J379" s="153"/>
      <c r="K379" s="153"/>
      <c r="L379" s="153"/>
      <c r="M379" s="116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</row>
    <row r="380" spans="2:26">
      <c r="B380" s="153"/>
      <c r="C380" s="153"/>
      <c r="D380" s="153"/>
      <c r="E380" s="153"/>
      <c r="F380" s="153"/>
      <c r="G380" s="116"/>
      <c r="H380" s="153"/>
      <c r="I380" s="153"/>
      <c r="J380" s="153"/>
      <c r="K380" s="153"/>
      <c r="L380" s="153"/>
      <c r="M380" s="116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</row>
    <row r="381" spans="2:26">
      <c r="B381" s="153"/>
      <c r="C381" s="153"/>
      <c r="D381" s="153"/>
      <c r="E381" s="153"/>
      <c r="F381" s="153"/>
      <c r="G381" s="116"/>
      <c r="H381" s="153"/>
      <c r="I381" s="153"/>
      <c r="J381" s="153"/>
      <c r="K381" s="153"/>
      <c r="L381" s="153"/>
      <c r="M381" s="116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</row>
    <row r="382" spans="2:26">
      <c r="B382" s="153"/>
      <c r="C382" s="153"/>
      <c r="D382" s="153"/>
      <c r="E382" s="153"/>
      <c r="F382" s="153"/>
      <c r="G382" s="116"/>
      <c r="H382" s="153"/>
      <c r="I382" s="153"/>
      <c r="J382" s="153"/>
      <c r="K382" s="153"/>
      <c r="L382" s="153"/>
      <c r="M382" s="116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</row>
    <row r="383" spans="2:26">
      <c r="B383" s="153"/>
      <c r="C383" s="153"/>
      <c r="D383" s="153"/>
      <c r="E383" s="153"/>
      <c r="F383" s="153"/>
      <c r="G383" s="116"/>
      <c r="H383" s="153"/>
      <c r="I383" s="153"/>
      <c r="J383" s="153"/>
      <c r="K383" s="153"/>
      <c r="L383" s="153"/>
      <c r="M383" s="116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</row>
    <row r="384" spans="2:26">
      <c r="B384" s="153"/>
      <c r="C384" s="153"/>
      <c r="D384" s="153"/>
      <c r="E384" s="153"/>
      <c r="F384" s="153"/>
      <c r="G384" s="116"/>
      <c r="H384" s="153"/>
      <c r="I384" s="153"/>
      <c r="J384" s="153"/>
      <c r="K384" s="153"/>
      <c r="L384" s="153"/>
      <c r="M384" s="116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</row>
    <row r="385" spans="2:26">
      <c r="B385" s="153"/>
      <c r="C385" s="153"/>
      <c r="D385" s="153"/>
      <c r="E385" s="153"/>
      <c r="F385" s="153"/>
      <c r="G385" s="116"/>
      <c r="H385" s="153"/>
      <c r="I385" s="153"/>
      <c r="J385" s="153"/>
      <c r="K385" s="153"/>
      <c r="L385" s="153"/>
      <c r="M385" s="116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</row>
    <row r="386" spans="2:26">
      <c r="B386" s="153"/>
      <c r="C386" s="153"/>
      <c r="D386" s="153"/>
      <c r="E386" s="153"/>
      <c r="F386" s="153"/>
      <c r="G386" s="116"/>
      <c r="H386" s="153"/>
      <c r="I386" s="153"/>
      <c r="J386" s="153"/>
      <c r="K386" s="153"/>
      <c r="L386" s="153"/>
      <c r="M386" s="116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</row>
    <row r="387" spans="2:26">
      <c r="B387" s="153"/>
      <c r="C387" s="153"/>
      <c r="D387" s="153"/>
      <c r="E387" s="153"/>
      <c r="F387" s="153"/>
      <c r="G387" s="116"/>
      <c r="H387" s="153"/>
      <c r="I387" s="153"/>
      <c r="J387" s="153"/>
      <c r="K387" s="153"/>
      <c r="L387" s="153"/>
      <c r="M387" s="116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</row>
    <row r="388" spans="2:26">
      <c r="B388" s="153"/>
      <c r="C388" s="153"/>
      <c r="D388" s="153"/>
      <c r="E388" s="153"/>
      <c r="F388" s="153"/>
      <c r="G388" s="116"/>
      <c r="H388" s="153"/>
      <c r="I388" s="153"/>
      <c r="J388" s="153"/>
      <c r="K388" s="153"/>
      <c r="L388" s="153"/>
      <c r="M388" s="116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</row>
    <row r="389" spans="2:26">
      <c r="B389" s="153"/>
      <c r="C389" s="153"/>
      <c r="D389" s="153"/>
      <c r="E389" s="153"/>
      <c r="F389" s="153"/>
      <c r="G389" s="116"/>
      <c r="H389" s="153"/>
      <c r="I389" s="153"/>
      <c r="J389" s="153"/>
      <c r="K389" s="153"/>
      <c r="L389" s="153"/>
      <c r="M389" s="116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</row>
    <row r="390" spans="2:26">
      <c r="B390" s="153"/>
      <c r="C390" s="153"/>
      <c r="D390" s="153"/>
      <c r="E390" s="153"/>
      <c r="F390" s="153"/>
      <c r="G390" s="116"/>
      <c r="H390" s="153"/>
      <c r="I390" s="153"/>
      <c r="J390" s="153"/>
      <c r="K390" s="153"/>
      <c r="L390" s="153"/>
      <c r="M390" s="116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</row>
    <row r="391" spans="2:26">
      <c r="B391" s="153"/>
      <c r="C391" s="153"/>
      <c r="D391" s="153"/>
      <c r="E391" s="153"/>
      <c r="F391" s="153"/>
      <c r="G391" s="116"/>
      <c r="H391" s="153"/>
      <c r="I391" s="153"/>
      <c r="J391" s="153"/>
      <c r="K391" s="153"/>
      <c r="L391" s="153"/>
      <c r="M391" s="116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</row>
    <row r="392" spans="2:26">
      <c r="B392" s="153"/>
      <c r="C392" s="153"/>
      <c r="D392" s="153"/>
      <c r="E392" s="153"/>
      <c r="F392" s="153"/>
      <c r="G392" s="116"/>
      <c r="H392" s="153"/>
      <c r="I392" s="153"/>
      <c r="J392" s="153"/>
      <c r="K392" s="153"/>
      <c r="L392" s="153"/>
      <c r="M392" s="116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</row>
    <row r="393" spans="2:26">
      <c r="B393" s="153"/>
      <c r="C393" s="153"/>
      <c r="D393" s="153"/>
      <c r="E393" s="153"/>
      <c r="F393" s="153"/>
      <c r="G393" s="116"/>
      <c r="H393" s="153"/>
      <c r="I393" s="153"/>
      <c r="J393" s="153"/>
      <c r="K393" s="153"/>
      <c r="L393" s="153"/>
      <c r="M393" s="116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</row>
    <row r="394" spans="2:26">
      <c r="G394" s="114"/>
      <c r="M394" s="114"/>
    </row>
    <row r="395" spans="2:26">
      <c r="G395" s="114"/>
      <c r="M395" s="114"/>
    </row>
    <row r="396" spans="2:26">
      <c r="G396" s="114"/>
      <c r="M396" s="114"/>
    </row>
    <row r="397" spans="2:26">
      <c r="G397" s="114"/>
      <c r="M397" s="114"/>
    </row>
    <row r="398" spans="2:26">
      <c r="B398" s="104"/>
      <c r="C398" s="43"/>
      <c r="D398" s="43"/>
      <c r="E398" s="43"/>
      <c r="F398" s="43"/>
      <c r="G398" s="56"/>
      <c r="H398" s="104"/>
      <c r="I398" s="43"/>
      <c r="J398" s="43"/>
      <c r="K398" s="43"/>
      <c r="L398" s="43"/>
      <c r="M398" s="56"/>
      <c r="N398" s="104"/>
      <c r="O398" s="43"/>
      <c r="P398" s="43"/>
      <c r="Q398" s="43"/>
      <c r="R398" s="43"/>
      <c r="S398" s="56"/>
    </row>
    <row r="399" spans="2:26">
      <c r="B399" s="104"/>
      <c r="C399" s="43"/>
      <c r="D399" s="43"/>
      <c r="E399" s="43"/>
      <c r="F399" s="43"/>
      <c r="G399" s="56"/>
      <c r="H399" s="104"/>
      <c r="I399" s="43"/>
      <c r="J399" s="43"/>
      <c r="K399" s="43"/>
      <c r="L399" s="43"/>
      <c r="M399" s="56"/>
      <c r="N399" s="104"/>
      <c r="O399" s="43"/>
      <c r="P399" s="43"/>
      <c r="Q399" s="43"/>
      <c r="R399" s="43"/>
      <c r="S399" s="56"/>
    </row>
    <row r="400" spans="2:26">
      <c r="B400" s="104"/>
      <c r="C400" s="43"/>
      <c r="D400" s="43"/>
      <c r="E400" s="43"/>
      <c r="F400" s="43"/>
      <c r="G400" s="56"/>
      <c r="H400" s="104"/>
      <c r="I400" s="43"/>
      <c r="J400" s="43"/>
      <c r="K400" s="43"/>
      <c r="L400" s="43"/>
      <c r="M400" s="56"/>
      <c r="N400" s="104"/>
      <c r="O400" s="43"/>
      <c r="P400" s="43"/>
      <c r="Q400" s="43"/>
      <c r="R400" s="43"/>
      <c r="S400" s="56"/>
    </row>
    <row r="401" spans="2:19">
      <c r="B401" s="104"/>
      <c r="C401" s="43"/>
      <c r="D401" s="43"/>
      <c r="E401" s="43"/>
      <c r="F401" s="43"/>
      <c r="G401" s="56"/>
      <c r="H401" s="104"/>
      <c r="I401" s="43"/>
      <c r="J401" s="43"/>
      <c r="K401" s="43"/>
      <c r="L401" s="43"/>
      <c r="M401" s="56"/>
      <c r="N401" s="104"/>
      <c r="O401" s="43"/>
      <c r="P401" s="43"/>
      <c r="Q401" s="43"/>
      <c r="R401" s="43"/>
      <c r="S401" s="56"/>
    </row>
    <row r="402" spans="2:19">
      <c r="B402" s="104"/>
      <c r="C402" s="43"/>
      <c r="D402" s="43"/>
      <c r="E402" s="43"/>
      <c r="F402" s="43"/>
      <c r="G402" s="56"/>
      <c r="H402" s="104"/>
      <c r="I402" s="43"/>
      <c r="J402" s="43"/>
      <c r="K402" s="43"/>
      <c r="L402" s="43"/>
      <c r="M402" s="56"/>
      <c r="N402" s="104"/>
      <c r="O402" s="43"/>
      <c r="P402" s="43"/>
      <c r="Q402" s="43"/>
      <c r="R402" s="43"/>
      <c r="S402" s="56"/>
    </row>
    <row r="403" spans="2:19">
      <c r="B403" s="104"/>
      <c r="C403" s="43"/>
      <c r="D403" s="43"/>
      <c r="E403" s="43"/>
      <c r="F403" s="43"/>
      <c r="G403" s="56"/>
      <c r="H403" s="104"/>
      <c r="I403" s="43"/>
      <c r="J403" s="43"/>
      <c r="K403" s="43"/>
      <c r="L403" s="43"/>
      <c r="M403" s="56"/>
      <c r="N403" s="104"/>
      <c r="O403" s="43"/>
      <c r="P403" s="43"/>
      <c r="Q403" s="43"/>
      <c r="R403" s="43"/>
      <c r="S403" s="56"/>
    </row>
    <row r="404" spans="2:19">
      <c r="B404" s="104"/>
      <c r="C404" s="43"/>
      <c r="D404" s="43"/>
      <c r="E404" s="43"/>
      <c r="F404" s="43"/>
      <c r="G404" s="56"/>
      <c r="H404" s="104"/>
      <c r="I404" s="43"/>
      <c r="J404" s="43"/>
      <c r="K404" s="43"/>
      <c r="L404" s="43"/>
      <c r="M404" s="56"/>
      <c r="N404" s="104"/>
      <c r="O404" s="43"/>
      <c r="P404" s="43"/>
      <c r="Q404" s="43"/>
      <c r="R404" s="43"/>
      <c r="S404" s="56"/>
    </row>
    <row r="405" spans="2:19">
      <c r="B405" s="104"/>
      <c r="C405" s="43"/>
      <c r="D405" s="43"/>
      <c r="E405" s="43"/>
      <c r="F405" s="43"/>
      <c r="G405" s="56"/>
      <c r="H405" s="104"/>
      <c r="I405" s="43"/>
      <c r="J405" s="43"/>
      <c r="K405" s="43"/>
      <c r="L405" s="43"/>
      <c r="M405" s="56"/>
      <c r="N405" s="104"/>
      <c r="O405" s="43"/>
      <c r="P405" s="43"/>
      <c r="Q405" s="43"/>
      <c r="R405" s="43"/>
      <c r="S405" s="56"/>
    </row>
    <row r="406" spans="2:19">
      <c r="B406" s="104"/>
      <c r="C406" s="43"/>
      <c r="D406" s="43"/>
      <c r="E406" s="43"/>
      <c r="F406" s="43"/>
      <c r="G406" s="56"/>
      <c r="H406" s="104"/>
      <c r="I406" s="43"/>
      <c r="J406" s="43"/>
      <c r="K406" s="43"/>
      <c r="L406" s="43"/>
      <c r="M406" s="56"/>
      <c r="N406" s="104"/>
      <c r="O406" s="43"/>
      <c r="P406" s="43"/>
      <c r="Q406" s="43"/>
      <c r="R406" s="43"/>
      <c r="S406" s="56"/>
    </row>
    <row r="407" spans="2:19">
      <c r="B407" s="104"/>
      <c r="C407" s="43"/>
      <c r="D407" s="43"/>
      <c r="E407" s="43"/>
      <c r="F407" s="43"/>
      <c r="G407" s="56"/>
      <c r="H407" s="104"/>
      <c r="I407" s="43"/>
      <c r="J407" s="43"/>
      <c r="K407" s="43"/>
      <c r="L407" s="43"/>
      <c r="M407" s="56"/>
      <c r="N407" s="104"/>
      <c r="O407" s="43"/>
      <c r="P407" s="43"/>
      <c r="Q407" s="43"/>
      <c r="R407" s="43"/>
      <c r="S407" s="56"/>
    </row>
    <row r="408" spans="2:19">
      <c r="B408" s="104"/>
      <c r="C408" s="43"/>
      <c r="D408" s="43"/>
      <c r="E408" s="43"/>
      <c r="F408" s="43"/>
      <c r="G408" s="56"/>
      <c r="H408" s="104"/>
      <c r="I408" s="43"/>
      <c r="J408" s="43"/>
      <c r="K408" s="43"/>
      <c r="L408" s="43"/>
      <c r="M408" s="56"/>
      <c r="N408" s="104"/>
      <c r="O408" s="43"/>
      <c r="P408" s="43"/>
      <c r="Q408" s="43"/>
      <c r="R408" s="43"/>
      <c r="S408" s="56"/>
    </row>
    <row r="409" spans="2:19">
      <c r="B409" s="104"/>
      <c r="C409" s="43"/>
      <c r="D409" s="43"/>
      <c r="E409" s="43"/>
      <c r="F409" s="43"/>
      <c r="G409" s="56"/>
      <c r="H409" s="104"/>
      <c r="I409" s="43"/>
      <c r="J409" s="43"/>
      <c r="K409" s="43"/>
      <c r="L409" s="43"/>
      <c r="M409" s="56"/>
      <c r="N409" s="104"/>
      <c r="O409" s="43"/>
      <c r="P409" s="43"/>
      <c r="Q409" s="43"/>
      <c r="R409" s="43"/>
      <c r="S409" s="56"/>
    </row>
    <row r="410" spans="2:19">
      <c r="B410" s="104"/>
      <c r="C410" s="43"/>
      <c r="D410" s="43"/>
      <c r="E410" s="43"/>
      <c r="F410" s="43"/>
      <c r="G410" s="56"/>
      <c r="H410" s="104"/>
      <c r="I410" s="43"/>
      <c r="J410" s="43"/>
      <c r="K410" s="43"/>
      <c r="L410" s="43"/>
      <c r="M410" s="56"/>
      <c r="N410" s="104"/>
      <c r="O410" s="43"/>
      <c r="P410" s="43"/>
      <c r="Q410" s="43"/>
      <c r="R410" s="43"/>
      <c r="S410" s="56"/>
    </row>
    <row r="411" spans="2:19">
      <c r="B411" s="104"/>
      <c r="C411" s="43"/>
      <c r="D411" s="43"/>
      <c r="E411" s="43"/>
      <c r="F411" s="43"/>
      <c r="G411" s="56"/>
      <c r="H411" s="104"/>
      <c r="I411" s="43"/>
      <c r="J411" s="43"/>
      <c r="K411" s="43"/>
      <c r="L411" s="43"/>
      <c r="M411" s="56"/>
      <c r="N411" s="104"/>
      <c r="O411" s="43"/>
      <c r="P411" s="43"/>
      <c r="Q411" s="43"/>
      <c r="R411" s="43"/>
      <c r="S411" s="56"/>
    </row>
    <row r="412" spans="2:19">
      <c r="B412" s="104"/>
      <c r="C412" s="43"/>
      <c r="D412" s="43"/>
      <c r="E412" s="43"/>
      <c r="F412" s="43"/>
      <c r="G412" s="56"/>
      <c r="H412" s="104"/>
      <c r="I412" s="43"/>
      <c r="J412" s="43"/>
      <c r="K412" s="43"/>
      <c r="L412" s="43"/>
      <c r="M412" s="56"/>
      <c r="N412" s="104"/>
      <c r="O412" s="43"/>
      <c r="P412" s="43"/>
      <c r="Q412" s="43"/>
      <c r="R412" s="43"/>
      <c r="S412" s="56"/>
    </row>
    <row r="413" spans="2:19">
      <c r="B413" s="104"/>
      <c r="C413" s="43"/>
      <c r="D413" s="43"/>
      <c r="E413" s="43"/>
      <c r="F413" s="43"/>
      <c r="G413" s="56"/>
      <c r="H413" s="104"/>
      <c r="I413" s="43"/>
      <c r="J413" s="43"/>
      <c r="K413" s="43"/>
      <c r="L413" s="43"/>
      <c r="M413" s="56"/>
      <c r="N413" s="104"/>
      <c r="O413" s="43"/>
      <c r="P413" s="43"/>
      <c r="Q413" s="43"/>
      <c r="R413" s="43"/>
      <c r="S413" s="56"/>
    </row>
    <row r="414" spans="2:19">
      <c r="B414" s="104"/>
      <c r="C414" s="43"/>
      <c r="D414" s="43"/>
      <c r="E414" s="43"/>
      <c r="F414" s="43"/>
      <c r="G414" s="56"/>
      <c r="H414" s="104"/>
      <c r="I414" s="43"/>
      <c r="J414" s="43"/>
      <c r="K414" s="43"/>
      <c r="L414" s="43"/>
      <c r="M414" s="56"/>
      <c r="N414" s="104"/>
      <c r="O414" s="43"/>
      <c r="P414" s="43"/>
      <c r="Q414" s="43"/>
      <c r="R414" s="43"/>
      <c r="S414" s="56"/>
    </row>
    <row r="415" spans="2:19">
      <c r="B415" s="104"/>
      <c r="C415" s="43"/>
      <c r="D415" s="43"/>
      <c r="E415" s="43"/>
      <c r="F415" s="43"/>
      <c r="G415" s="56"/>
      <c r="H415" s="104"/>
      <c r="I415" s="43"/>
      <c r="J415" s="43"/>
      <c r="K415" s="43"/>
      <c r="L415" s="43"/>
      <c r="M415" s="56"/>
      <c r="N415" s="104"/>
      <c r="O415" s="43"/>
      <c r="P415" s="43"/>
      <c r="Q415" s="43"/>
      <c r="R415" s="43"/>
      <c r="S415" s="56"/>
    </row>
    <row r="416" spans="2:19">
      <c r="B416" s="104"/>
      <c r="C416" s="43"/>
      <c r="D416" s="43"/>
      <c r="E416" s="43"/>
      <c r="F416" s="43"/>
      <c r="G416" s="56"/>
      <c r="H416" s="104"/>
      <c r="I416" s="43"/>
      <c r="J416" s="43"/>
      <c r="K416" s="43"/>
      <c r="L416" s="43"/>
      <c r="M416" s="56"/>
      <c r="N416" s="104"/>
      <c r="O416" s="43"/>
      <c r="P416" s="43"/>
      <c r="Q416" s="43"/>
      <c r="R416" s="43"/>
      <c r="S416" s="56"/>
    </row>
    <row r="417" spans="2:19">
      <c r="B417" s="104"/>
      <c r="C417" s="43"/>
      <c r="D417" s="43"/>
      <c r="E417" s="43"/>
      <c r="F417" s="43"/>
      <c r="G417" s="56"/>
      <c r="H417" s="104"/>
      <c r="I417" s="43"/>
      <c r="J417" s="43"/>
      <c r="K417" s="43"/>
      <c r="L417" s="43"/>
      <c r="M417" s="56"/>
      <c r="N417" s="104"/>
      <c r="O417" s="43"/>
      <c r="P417" s="43"/>
      <c r="Q417" s="43"/>
      <c r="R417" s="43"/>
      <c r="S417" s="56"/>
    </row>
    <row r="418" spans="2:19">
      <c r="B418" s="56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</row>
    <row r="419" spans="2:19">
      <c r="G419" s="114"/>
      <c r="M419" s="114"/>
    </row>
    <row r="420" spans="2:19">
      <c r="G420" s="114"/>
      <c r="M420" s="114"/>
    </row>
    <row r="421" spans="2:19">
      <c r="G421" s="114"/>
      <c r="M421" s="114"/>
    </row>
    <row r="422" spans="2:19">
      <c r="G422" s="114"/>
      <c r="M422" s="114"/>
    </row>
    <row r="423" spans="2:19">
      <c r="M423" s="114"/>
    </row>
    <row r="424" spans="2:19">
      <c r="M424" s="114"/>
    </row>
    <row r="425" spans="2:19">
      <c r="M425" s="114"/>
    </row>
    <row r="426" spans="2:19">
      <c r="M426" s="114"/>
    </row>
    <row r="427" spans="2:19">
      <c r="M427" s="114"/>
    </row>
    <row r="428" spans="2:19">
      <c r="M428" s="114"/>
    </row>
  </sheetData>
  <mergeCells count="112">
    <mergeCell ref="O3:P3"/>
    <mergeCell ref="T152:V152"/>
    <mergeCell ref="W152:X152"/>
    <mergeCell ref="T153:V153"/>
    <mergeCell ref="W153:X153"/>
    <mergeCell ref="Q50:R50"/>
    <mergeCell ref="U50:V50"/>
    <mergeCell ref="W50:X50"/>
    <mergeCell ref="B152:D152"/>
    <mergeCell ref="E152:F152"/>
    <mergeCell ref="B153:D153"/>
    <mergeCell ref="E153:F153"/>
    <mergeCell ref="H152:J152"/>
    <mergeCell ref="K152:L152"/>
    <mergeCell ref="H153:J153"/>
    <mergeCell ref="K153:L153"/>
    <mergeCell ref="N152:P152"/>
    <mergeCell ref="Q152:R152"/>
    <mergeCell ref="N153:P153"/>
    <mergeCell ref="Q153:R153"/>
    <mergeCell ref="J26:J29"/>
    <mergeCell ref="M14:M17"/>
    <mergeCell ref="M18:M21"/>
    <mergeCell ref="M22:M25"/>
    <mergeCell ref="B2:I2"/>
    <mergeCell ref="B3:F3"/>
    <mergeCell ref="G3:I3"/>
    <mergeCell ref="B5:M5"/>
    <mergeCell ref="B12:F12"/>
    <mergeCell ref="U10:W10"/>
    <mergeCell ref="U9:W9"/>
    <mergeCell ref="C50:D50"/>
    <mergeCell ref="E50:F50"/>
    <mergeCell ref="I50:J50"/>
    <mergeCell ref="K50:L50"/>
    <mergeCell ref="O50:P50"/>
    <mergeCell ref="Q27:S27"/>
    <mergeCell ref="T27:Z27"/>
    <mergeCell ref="U13:W13"/>
    <mergeCell ref="V14:X14"/>
    <mergeCell ref="V15:X15"/>
    <mergeCell ref="V16:X16"/>
    <mergeCell ref="V17:X17"/>
    <mergeCell ref="V18:X18"/>
    <mergeCell ref="Q25:S25"/>
    <mergeCell ref="U7:W7"/>
    <mergeCell ref="B27:E27"/>
    <mergeCell ref="J22:J25"/>
    <mergeCell ref="J12:M12"/>
    <mergeCell ref="J14:J17"/>
    <mergeCell ref="J18:J21"/>
    <mergeCell ref="B19:H19"/>
    <mergeCell ref="Q26:S26"/>
    <mergeCell ref="T24:Z24"/>
    <mergeCell ref="T25:Z25"/>
    <mergeCell ref="T26:Z26"/>
    <mergeCell ref="T23:Z23"/>
    <mergeCell ref="P5:Q5"/>
    <mergeCell ref="P22:Q22"/>
    <mergeCell ref="P17:S17"/>
    <mergeCell ref="P18:S18"/>
    <mergeCell ref="P19:S19"/>
    <mergeCell ref="P13:Q13"/>
    <mergeCell ref="P14:S14"/>
    <mergeCell ref="P15:S15"/>
    <mergeCell ref="P16:S16"/>
    <mergeCell ref="Q6:R6"/>
    <mergeCell ref="Q8:R8"/>
    <mergeCell ref="Q9:R9"/>
    <mergeCell ref="Q10:R10"/>
    <mergeCell ref="U6:W6"/>
    <mergeCell ref="Q7:R7"/>
    <mergeCell ref="Q23:S23"/>
    <mergeCell ref="Q24:S24"/>
    <mergeCell ref="U8:W8"/>
    <mergeCell ref="Q156:R156"/>
    <mergeCell ref="B258:D258"/>
    <mergeCell ref="E258:F258"/>
    <mergeCell ref="B259:D259"/>
    <mergeCell ref="E259:F259"/>
    <mergeCell ref="H258:J258"/>
    <mergeCell ref="K258:L258"/>
    <mergeCell ref="H259:J259"/>
    <mergeCell ref="K259:L259"/>
    <mergeCell ref="N258:P258"/>
    <mergeCell ref="Q258:R258"/>
    <mergeCell ref="N259:P259"/>
    <mergeCell ref="Q259:R259"/>
    <mergeCell ref="C156:D156"/>
    <mergeCell ref="E156:F156"/>
    <mergeCell ref="I156:J156"/>
    <mergeCell ref="K156:L156"/>
    <mergeCell ref="O156:P156"/>
    <mergeCell ref="M26:M29"/>
    <mergeCell ref="Q262:R262"/>
    <mergeCell ref="B364:D364"/>
    <mergeCell ref="E364:F364"/>
    <mergeCell ref="B365:D365"/>
    <mergeCell ref="E365:F365"/>
    <mergeCell ref="H364:J364"/>
    <mergeCell ref="K364:L364"/>
    <mergeCell ref="H365:J365"/>
    <mergeCell ref="K365:L365"/>
    <mergeCell ref="N364:P364"/>
    <mergeCell ref="Q364:R364"/>
    <mergeCell ref="N365:P365"/>
    <mergeCell ref="Q365:R365"/>
    <mergeCell ref="I262:J262"/>
    <mergeCell ref="K262:L262"/>
    <mergeCell ref="C262:D262"/>
    <mergeCell ref="E262:F262"/>
    <mergeCell ref="O262:P262"/>
  </mergeCells>
  <phoneticPr fontId="2" type="noConversion"/>
  <conditionalFormatting sqref="H7:H10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{F2B600F6-464B-460D-8A37-A4C9D0E7CB77}</x14:id>
        </ext>
      </extLst>
    </cfRule>
  </conditionalFormatting>
  <conditionalFormatting sqref="I7:I10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{6CE13CBC-F457-4B23-9485-E850414C0246}</x14:id>
        </ext>
      </extLst>
    </cfRule>
  </conditionalFormatting>
  <conditionalFormatting sqref="J7:J10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{DE7049D9-8C34-45FD-8C5A-02BB06F66F53}</x14:id>
        </ext>
      </extLst>
    </cfRule>
  </conditionalFormatting>
  <conditionalFormatting sqref="K7:K10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{0F364114-11FE-45A0-A701-95AED343A6DF}</x14:id>
        </ext>
      </extLst>
    </cfRule>
  </conditionalFormatting>
  <conditionalFormatting sqref="L7:L10">
    <cfRule type="dataBar" priority="1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{788BB3D5-01F2-4853-A61E-550AE2B4D06A}</x14:id>
        </ext>
      </extLst>
    </cfRule>
  </conditionalFormatting>
  <conditionalFormatting sqref="M7:M10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{C5A5A817-BB53-44CD-BFA2-D68D5C399C9E}</x14:id>
        </ext>
      </extLst>
    </cfRule>
  </conditionalFormatting>
  <conditionalFormatting sqref="F14:F17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{3296C20F-1F91-40C2-870F-B40E3478BDBB}</x14:id>
        </ext>
      </extLst>
    </cfRule>
  </conditionalFormatting>
  <conditionalFormatting sqref="C14:C17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{202F9A2D-2587-4B9E-8275-95F654BD8151}</x14:id>
        </ext>
      </extLst>
    </cfRule>
  </conditionalFormatting>
  <conditionalFormatting sqref="E14:E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{065DFCF7-C20C-43F4-963C-A1BD7B411A0B}</x14:id>
        </ext>
      </extLst>
    </cfRule>
  </conditionalFormatting>
  <conditionalFormatting sqref="D14:D17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{0A8EE9BF-BA17-449E-BF4A-31349DE6542A}</x14:id>
        </ext>
      </extLst>
    </cfRule>
  </conditionalFormatting>
  <conditionalFormatting sqref="C21:C24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{70B8593D-24FB-4B0E-96AA-31C254A0C91A}</x14:id>
        </ext>
      </extLst>
    </cfRule>
  </conditionalFormatting>
  <conditionalFormatting sqref="D21:D2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{B85EECBF-3462-4772-8787-C1DAE5070815}</x14:id>
        </ext>
      </extLst>
    </cfRule>
  </conditionalFormatting>
  <conditionalFormatting sqref="E21:E24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{1D75D4D7-EF6D-4215-8990-91B59C4B97AE}</x14:id>
        </ext>
      </extLst>
    </cfRule>
  </conditionalFormatting>
  <conditionalFormatting sqref="F21:F24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{A818E532-B879-41D1-B0CF-DDE88968CD9F}</x14:id>
        </ext>
      </extLst>
    </cfRule>
  </conditionalFormatting>
  <conditionalFormatting sqref="G21:G24"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{A5D74D7A-B1A3-4F66-B22A-FB76C72BE286}</x14:id>
        </ext>
      </extLst>
    </cfRule>
  </conditionalFormatting>
  <conditionalFormatting sqref="H21:H24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{237C0A66-444A-408C-BBF5-AD37DEC7BF74}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단추7_Click">
                <anchor moveWithCells="1" sizeWithCells="1">
                  <from>
                    <xdr:col>9</xdr:col>
                    <xdr:colOff>19050</xdr:colOff>
                    <xdr:row>1</xdr:row>
                    <xdr:rowOff>0</xdr:rowOff>
                  </from>
                  <to>
                    <xdr:col>13</xdr:col>
                    <xdr:colOff>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2B600F6-464B-460D-8A37-A4C9D0E7CB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H7:H10</xm:sqref>
        </x14:conditionalFormatting>
        <x14:conditionalFormatting xmlns:xm="http://schemas.microsoft.com/office/excel/2006/main">
          <x14:cfRule type="dataBar" id="{6CE13CBC-F457-4B23-9485-E850414C02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I7:I10</xm:sqref>
        </x14:conditionalFormatting>
        <x14:conditionalFormatting xmlns:xm="http://schemas.microsoft.com/office/excel/2006/main">
          <x14:cfRule type="dataBar" id="{DE7049D9-8C34-45FD-8C5A-02BB06F66F5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J7:J10</xm:sqref>
        </x14:conditionalFormatting>
        <x14:conditionalFormatting xmlns:xm="http://schemas.microsoft.com/office/excel/2006/main">
          <x14:cfRule type="dataBar" id="{0F364114-11FE-45A0-A701-95AED343A6D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K7:K10</xm:sqref>
        </x14:conditionalFormatting>
        <x14:conditionalFormatting xmlns:xm="http://schemas.microsoft.com/office/excel/2006/main">
          <x14:cfRule type="dataBar" id="{788BB3D5-01F2-4853-A61E-550AE2B4D06A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L7:L10</xm:sqref>
        </x14:conditionalFormatting>
        <x14:conditionalFormatting xmlns:xm="http://schemas.microsoft.com/office/excel/2006/main">
          <x14:cfRule type="dataBar" id="{C5A5A817-BB53-44CD-BFA2-D68D5C399C9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M7:M10</xm:sqref>
        </x14:conditionalFormatting>
        <x14:conditionalFormatting xmlns:xm="http://schemas.microsoft.com/office/excel/2006/main">
          <x14:cfRule type="dataBar" id="{3296C20F-1F91-40C2-870F-B40E3478BD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F14:F17</xm:sqref>
        </x14:conditionalFormatting>
        <x14:conditionalFormatting xmlns:xm="http://schemas.microsoft.com/office/excel/2006/main">
          <x14:cfRule type="dataBar" id="{202F9A2D-2587-4B9E-8275-95F654BD81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C14:C17</xm:sqref>
        </x14:conditionalFormatting>
        <x14:conditionalFormatting xmlns:xm="http://schemas.microsoft.com/office/excel/2006/main">
          <x14:cfRule type="dataBar" id="{065DFCF7-C20C-43F4-963C-A1BD7B411A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E14:E17</xm:sqref>
        </x14:conditionalFormatting>
        <x14:conditionalFormatting xmlns:xm="http://schemas.microsoft.com/office/excel/2006/main">
          <x14:cfRule type="dataBar" id="{0A8EE9BF-BA17-449E-BF4A-31349DE654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D14:D17</xm:sqref>
        </x14:conditionalFormatting>
        <x14:conditionalFormatting xmlns:xm="http://schemas.microsoft.com/office/excel/2006/main">
          <x14:cfRule type="dataBar" id="{70B8593D-24FB-4B0E-96AA-31C254A0C91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C21:C24</xm:sqref>
        </x14:conditionalFormatting>
        <x14:conditionalFormatting xmlns:xm="http://schemas.microsoft.com/office/excel/2006/main">
          <x14:cfRule type="dataBar" id="{B85EECBF-3462-4772-8787-C1DAE50708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D21:D24</xm:sqref>
        </x14:conditionalFormatting>
        <x14:conditionalFormatting xmlns:xm="http://schemas.microsoft.com/office/excel/2006/main">
          <x14:cfRule type="dataBar" id="{1D75D4D7-EF6D-4215-8990-91B59C4B97A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E21:E24</xm:sqref>
        </x14:conditionalFormatting>
        <x14:conditionalFormatting xmlns:xm="http://schemas.microsoft.com/office/excel/2006/main">
          <x14:cfRule type="dataBar" id="{A818E532-B879-41D1-B0CF-DDE88968CD9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F21:F24</xm:sqref>
        </x14:conditionalFormatting>
        <x14:conditionalFormatting xmlns:xm="http://schemas.microsoft.com/office/excel/2006/main">
          <x14:cfRule type="dataBar" id="{A5D74D7A-B1A3-4F66-B22A-FB76C72BE286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G21:G24</xm:sqref>
        </x14:conditionalFormatting>
        <x14:conditionalFormatting xmlns:xm="http://schemas.microsoft.com/office/excel/2006/main">
          <x14:cfRule type="dataBar" id="{237C0A66-444A-408C-BBF5-AD37DEC7BF7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H21:H24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95"/>
  <sheetViews>
    <sheetView zoomScale="85" zoomScaleNormal="85" workbookViewId="0">
      <selection activeCell="R26" sqref="R26"/>
    </sheetView>
  </sheetViews>
  <sheetFormatPr defaultRowHeight="16.5"/>
  <cols>
    <col min="1" max="1" width="1.625" customWidth="1"/>
    <col min="2" max="2" width="10.625" customWidth="1"/>
    <col min="3" max="3" width="20.25" customWidth="1"/>
    <col min="4" max="4" width="18.875" customWidth="1"/>
    <col min="5" max="7" width="13" bestFit="1" customWidth="1"/>
    <col min="10" max="10" width="12" customWidth="1"/>
    <col min="11" max="11" width="11.125" customWidth="1"/>
    <col min="13" max="13" width="10.75" customWidth="1"/>
    <col min="14" max="14" width="11.5" customWidth="1"/>
  </cols>
  <sheetData>
    <row r="1" spans="2:19" ht="17.25" thickBot="1"/>
    <row r="2" spans="2:19" ht="38.25" thickBot="1">
      <c r="B2" s="369" t="s">
        <v>99</v>
      </c>
      <c r="C2" s="370"/>
      <c r="D2" s="371"/>
      <c r="E2" s="215"/>
      <c r="F2" s="421" t="s">
        <v>87</v>
      </c>
      <c r="G2" s="422"/>
      <c r="H2" s="421" t="s">
        <v>88</v>
      </c>
      <c r="I2" s="422"/>
      <c r="J2" s="421" t="s">
        <v>93</v>
      </c>
      <c r="K2" s="422"/>
      <c r="L2" s="421" t="s">
        <v>85</v>
      </c>
      <c r="M2" s="422"/>
      <c r="N2" s="421" t="s">
        <v>89</v>
      </c>
      <c r="O2" s="422"/>
    </row>
    <row r="3" spans="2:19" ht="17.25" thickBot="1">
      <c r="B3" s="372" t="s">
        <v>86</v>
      </c>
      <c r="C3" s="373"/>
      <c r="D3" s="225" t="s">
        <v>92</v>
      </c>
      <c r="E3" s="209"/>
      <c r="F3" s="427">
        <f>ROUND(H3/30,1)</f>
        <v>12.3</v>
      </c>
      <c r="G3" s="428"/>
      <c r="H3" s="429">
        <f>ROUND(L3/6,1)</f>
        <v>367.6</v>
      </c>
      <c r="I3" s="430"/>
      <c r="J3" s="431">
        <v>6</v>
      </c>
      <c r="K3" s="432"/>
      <c r="L3" s="423">
        <f>ROUND(N3/60,1)</f>
        <v>2205.5</v>
      </c>
      <c r="M3" s="424"/>
      <c r="N3" s="425">
        <f>D95</f>
        <v>132327.77286223086</v>
      </c>
      <c r="O3" s="426"/>
    </row>
    <row r="4" spans="2:19" ht="17.25" thickBot="1"/>
    <row r="5" spans="2:19" ht="44.25" customHeight="1" thickBot="1">
      <c r="B5" s="227" t="s">
        <v>100</v>
      </c>
      <c r="C5" s="228" t="s">
        <v>90</v>
      </c>
      <c r="D5" s="229" t="s">
        <v>91</v>
      </c>
      <c r="E5" s="209"/>
      <c r="F5" s="209"/>
      <c r="G5" s="212"/>
      <c r="M5" s="410" t="s">
        <v>94</v>
      </c>
      <c r="N5" s="411"/>
      <c r="O5" s="411"/>
      <c r="P5" s="411"/>
      <c r="Q5" s="411"/>
      <c r="R5" s="411"/>
      <c r="S5" s="412"/>
    </row>
    <row r="6" spans="2:19" ht="17.25">
      <c r="B6" s="210">
        <v>1</v>
      </c>
      <c r="C6" s="217">
        <f>(B6^1.85+0.2)</f>
        <v>1.2</v>
      </c>
      <c r="D6" s="222">
        <f>C6</f>
        <v>1.2</v>
      </c>
      <c r="E6" s="214"/>
      <c r="F6" s="214"/>
      <c r="G6" s="56"/>
      <c r="M6" s="413" t="s">
        <v>95</v>
      </c>
      <c r="N6" s="414"/>
      <c r="O6" s="414"/>
      <c r="P6" s="414"/>
      <c r="Q6" s="414"/>
      <c r="R6" s="414"/>
      <c r="S6" s="415"/>
    </row>
    <row r="7" spans="2:19" ht="17.25">
      <c r="B7" s="211">
        <v>2</v>
      </c>
      <c r="C7" s="218">
        <f t="shared" ref="C7:C70" si="0">(B7^1.85+0.2)</f>
        <v>3.805001850443321</v>
      </c>
      <c r="D7" s="223">
        <f t="shared" ref="D7:D38" si="1">D6+C7</f>
        <v>5.0050018504433211</v>
      </c>
      <c r="E7" s="214"/>
      <c r="F7" s="214"/>
      <c r="G7" s="56"/>
      <c r="M7" s="416"/>
      <c r="N7" s="417"/>
      <c r="O7" s="417"/>
      <c r="P7" s="417"/>
      <c r="Q7" s="417"/>
      <c r="R7" s="417"/>
      <c r="S7" s="418"/>
    </row>
    <row r="8" spans="2:19" ht="17.25" customHeight="1">
      <c r="B8" s="211">
        <v>3</v>
      </c>
      <c r="C8" s="218">
        <f t="shared" si="0"/>
        <v>7.8326319549231531</v>
      </c>
      <c r="D8" s="223">
        <f t="shared" si="1"/>
        <v>12.837633805366474</v>
      </c>
      <c r="E8" s="214"/>
      <c r="F8" s="214"/>
      <c r="G8" s="56"/>
      <c r="M8" s="406" t="s">
        <v>96</v>
      </c>
      <c r="N8" s="419"/>
      <c r="O8" s="419"/>
      <c r="P8" s="419"/>
      <c r="Q8" s="419"/>
      <c r="R8" s="419"/>
      <c r="S8" s="420"/>
    </row>
    <row r="9" spans="2:19" ht="17.25" customHeight="1">
      <c r="B9" s="211">
        <v>4</v>
      </c>
      <c r="C9" s="218">
        <f t="shared" si="0"/>
        <v>13.196038341699767</v>
      </c>
      <c r="D9" s="223">
        <f t="shared" si="1"/>
        <v>26.033672147066241</v>
      </c>
      <c r="E9" s="214"/>
      <c r="F9" s="214"/>
      <c r="G9" s="56"/>
      <c r="M9" s="243"/>
      <c r="N9" s="244"/>
      <c r="O9" s="244"/>
      <c r="P9" s="244"/>
      <c r="Q9" s="244"/>
      <c r="R9" s="244"/>
      <c r="S9" s="245"/>
    </row>
    <row r="10" spans="2:19" ht="17.25">
      <c r="B10" s="211">
        <v>5</v>
      </c>
      <c r="C10" s="218">
        <f t="shared" si="0"/>
        <v>19.837875755794105</v>
      </c>
      <c r="D10" s="223">
        <f t="shared" si="1"/>
        <v>45.871547902860343</v>
      </c>
      <c r="E10" s="214"/>
      <c r="F10" s="214"/>
      <c r="G10" s="56"/>
      <c r="M10" s="409" t="s">
        <v>97</v>
      </c>
      <c r="N10" s="407"/>
      <c r="O10" s="407"/>
      <c r="P10" s="407"/>
      <c r="Q10" s="407"/>
      <c r="R10" s="407"/>
      <c r="S10" s="408"/>
    </row>
    <row r="11" spans="2:19" ht="17.25">
      <c r="B11" s="211">
        <v>6</v>
      </c>
      <c r="C11" s="218">
        <f t="shared" si="0"/>
        <v>27.715652321250783</v>
      </c>
      <c r="D11" s="223">
        <f t="shared" si="1"/>
        <v>73.587200224111129</v>
      </c>
      <c r="E11" s="214"/>
      <c r="F11" s="214"/>
      <c r="G11" s="56"/>
      <c r="M11" s="246"/>
      <c r="N11" s="247"/>
      <c r="O11" s="247"/>
      <c r="P11" s="247"/>
      <c r="Q11" s="247"/>
      <c r="R11" s="247"/>
      <c r="S11" s="248"/>
    </row>
    <row r="12" spans="2:19" ht="17.25" customHeight="1">
      <c r="B12" s="211">
        <v>7</v>
      </c>
      <c r="C12" s="218">
        <f t="shared" si="0"/>
        <v>36.795810833387662</v>
      </c>
      <c r="D12" s="223">
        <f t="shared" si="1"/>
        <v>110.38301105749879</v>
      </c>
      <c r="E12" s="214"/>
      <c r="F12" s="214"/>
      <c r="G12" s="56"/>
      <c r="M12" s="406" t="s">
        <v>98</v>
      </c>
      <c r="N12" s="407"/>
      <c r="O12" s="407"/>
      <c r="P12" s="407"/>
      <c r="Q12" s="407"/>
      <c r="R12" s="407"/>
      <c r="S12" s="408"/>
    </row>
    <row r="13" spans="2:19" ht="17.25" customHeight="1">
      <c r="B13" s="211">
        <v>8</v>
      </c>
      <c r="C13" s="218">
        <f t="shared" si="0"/>
        <v>47.050742270260017</v>
      </c>
      <c r="D13" s="223">
        <f t="shared" si="1"/>
        <v>157.43375332775881</v>
      </c>
      <c r="E13" s="214"/>
      <c r="F13" s="214"/>
      <c r="G13" s="56"/>
      <c r="M13" s="409"/>
      <c r="N13" s="407"/>
      <c r="O13" s="407"/>
      <c r="P13" s="407"/>
      <c r="Q13" s="407"/>
      <c r="R13" s="407"/>
      <c r="S13" s="408"/>
    </row>
    <row r="14" spans="2:19" ht="18" thickBot="1">
      <c r="B14" s="211">
        <v>9</v>
      </c>
      <c r="C14" s="218">
        <f t="shared" si="0"/>
        <v>58.45707055931404</v>
      </c>
      <c r="D14" s="223">
        <f t="shared" si="1"/>
        <v>215.89082388707286</v>
      </c>
      <c r="E14" s="214"/>
      <c r="F14" s="214"/>
      <c r="G14" s="56"/>
      <c r="M14" s="255"/>
      <c r="N14" s="256"/>
      <c r="O14" s="256"/>
      <c r="P14" s="256"/>
      <c r="Q14" s="256"/>
      <c r="R14" s="256"/>
      <c r="S14" s="257"/>
    </row>
    <row r="15" spans="2:19" ht="17.25">
      <c r="B15" s="216">
        <v>10</v>
      </c>
      <c r="C15" s="219">
        <f t="shared" si="0"/>
        <v>70.994578438413868</v>
      </c>
      <c r="D15" s="224">
        <f t="shared" si="1"/>
        <v>286.88540232548672</v>
      </c>
      <c r="E15" s="214"/>
      <c r="F15" s="214"/>
      <c r="G15" s="56"/>
      <c r="M15" s="226"/>
      <c r="N15" s="226"/>
      <c r="O15" s="226"/>
      <c r="P15" s="226"/>
      <c r="Q15" s="226"/>
      <c r="R15" s="226"/>
      <c r="S15" s="226"/>
    </row>
    <row r="16" spans="2:19" ht="17.25">
      <c r="B16" s="211">
        <v>11</v>
      </c>
      <c r="C16" s="218">
        <f t="shared" si="0"/>
        <v>84.645491455040755</v>
      </c>
      <c r="D16" s="223">
        <f t="shared" si="1"/>
        <v>371.53089378052749</v>
      </c>
      <c r="E16" s="214"/>
      <c r="F16" s="214"/>
      <c r="G16" s="56"/>
      <c r="M16" s="226"/>
      <c r="N16" s="226"/>
      <c r="O16" s="226"/>
      <c r="P16" s="226"/>
      <c r="Q16" s="226"/>
      <c r="R16" s="226"/>
      <c r="S16" s="226"/>
    </row>
    <row r="17" spans="2:19" ht="17.25">
      <c r="B17" s="211">
        <v>12</v>
      </c>
      <c r="C17" s="218">
        <f t="shared" si="0"/>
        <v>99.393977534264152</v>
      </c>
      <c r="D17" s="223">
        <f t="shared" si="1"/>
        <v>470.92487131479163</v>
      </c>
      <c r="E17" s="214"/>
      <c r="F17" s="214"/>
      <c r="G17" s="56"/>
      <c r="M17" s="226"/>
      <c r="N17" s="226"/>
      <c r="O17" s="226"/>
      <c r="P17" s="226"/>
      <c r="Q17" s="226"/>
      <c r="R17" s="226"/>
      <c r="S17" s="226"/>
    </row>
    <row r="18" spans="2:19">
      <c r="B18" s="211">
        <v>13</v>
      </c>
      <c r="C18" s="218">
        <f t="shared" si="0"/>
        <v>115.2257839282186</v>
      </c>
      <c r="D18" s="223">
        <f t="shared" si="1"/>
        <v>586.15065524301019</v>
      </c>
      <c r="E18" s="214"/>
      <c r="F18" s="214"/>
      <c r="G18" s="56"/>
    </row>
    <row r="19" spans="2:19">
      <c r="B19" s="211">
        <v>14</v>
      </c>
      <c r="C19" s="218">
        <f t="shared" si="0"/>
        <v>132.12796577283626</v>
      </c>
      <c r="D19" s="223">
        <f t="shared" si="1"/>
        <v>718.27862101584651</v>
      </c>
      <c r="E19" s="214"/>
      <c r="F19" s="214"/>
      <c r="G19" s="56"/>
    </row>
    <row r="20" spans="2:19">
      <c r="B20" s="211">
        <v>15</v>
      </c>
      <c r="C20" s="218">
        <f t="shared" si="0"/>
        <v>150.08867802048476</v>
      </c>
      <c r="D20" s="223">
        <f t="shared" si="1"/>
        <v>868.36729903633125</v>
      </c>
      <c r="E20" s="214"/>
      <c r="F20" s="214"/>
      <c r="G20" s="56"/>
    </row>
    <row r="21" spans="2:19">
      <c r="B21" s="211">
        <v>16</v>
      </c>
      <c r="C21" s="218">
        <f t="shared" si="0"/>
        <v>169.09701257893042</v>
      </c>
      <c r="D21" s="223">
        <f t="shared" si="1"/>
        <v>1037.4643116152617</v>
      </c>
      <c r="E21" s="214"/>
      <c r="F21" s="214"/>
      <c r="G21" s="56"/>
    </row>
    <row r="22" spans="2:19">
      <c r="B22" s="211">
        <v>17</v>
      </c>
      <c r="C22" s="218">
        <f t="shared" si="0"/>
        <v>189.14286853965467</v>
      </c>
      <c r="D22" s="223">
        <f t="shared" si="1"/>
        <v>1226.6071801549165</v>
      </c>
      <c r="E22" s="214"/>
      <c r="F22" s="214"/>
      <c r="G22" s="56"/>
    </row>
    <row r="23" spans="2:19">
      <c r="B23" s="211">
        <v>18</v>
      </c>
      <c r="C23" s="218">
        <f t="shared" si="0"/>
        <v>210.21684716773413</v>
      </c>
      <c r="D23" s="223">
        <f t="shared" si="1"/>
        <v>1436.8240273226506</v>
      </c>
      <c r="E23" s="214"/>
      <c r="F23" s="214"/>
      <c r="G23" s="56"/>
    </row>
    <row r="24" spans="2:19">
      <c r="B24" s="211">
        <v>19</v>
      </c>
      <c r="C24" s="218">
        <f t="shared" si="0"/>
        <v>232.31016577962276</v>
      </c>
      <c r="D24" s="223">
        <f t="shared" si="1"/>
        <v>1669.1341931022735</v>
      </c>
      <c r="E24" s="214"/>
      <c r="F24" s="214"/>
      <c r="G24" s="56"/>
    </row>
    <row r="25" spans="2:19">
      <c r="B25" s="216">
        <v>20</v>
      </c>
      <c r="C25" s="219">
        <f t="shared" si="0"/>
        <v>255.4145862718365</v>
      </c>
      <c r="D25" s="224">
        <f t="shared" si="1"/>
        <v>1924.5487793741099</v>
      </c>
      <c r="E25" s="214"/>
      <c r="F25" s="214"/>
      <c r="G25" s="56"/>
    </row>
    <row r="26" spans="2:19">
      <c r="B26" s="211">
        <v>21</v>
      </c>
      <c r="C26" s="218">
        <f t="shared" si="0"/>
        <v>279.52235518323755</v>
      </c>
      <c r="D26" s="223">
        <f t="shared" si="1"/>
        <v>2204.0711345573472</v>
      </c>
      <c r="E26" s="214"/>
      <c r="F26" s="214"/>
      <c r="G26" s="56"/>
    </row>
    <row r="27" spans="2:19">
      <c r="B27" s="211">
        <v>22</v>
      </c>
      <c r="C27" s="218">
        <f t="shared" si="0"/>
        <v>304.62615295701772</v>
      </c>
      <c r="D27" s="223">
        <f t="shared" si="1"/>
        <v>2508.6972875143651</v>
      </c>
      <c r="E27" s="214"/>
      <c r="F27" s="214"/>
      <c r="G27" s="56"/>
    </row>
    <row r="28" spans="2:19">
      <c r="B28" s="211">
        <v>23</v>
      </c>
      <c r="C28" s="218">
        <f t="shared" si="0"/>
        <v>330.71905062759555</v>
      </c>
      <c r="D28" s="223">
        <f t="shared" si="1"/>
        <v>2839.4163381419608</v>
      </c>
      <c r="E28" s="214"/>
      <c r="F28" s="214"/>
      <c r="G28" s="56"/>
    </row>
    <row r="29" spans="2:19">
      <c r="B29" s="211">
        <v>24</v>
      </c>
      <c r="C29" s="218">
        <f t="shared" si="0"/>
        <v>357.79447256385566</v>
      </c>
      <c r="D29" s="223">
        <f t="shared" si="1"/>
        <v>3197.2108107058166</v>
      </c>
      <c r="E29" s="214"/>
      <c r="F29" s="214"/>
      <c r="G29" s="56"/>
    </row>
    <row r="30" spans="2:19">
      <c r="B30" s="211">
        <v>25</v>
      </c>
      <c r="C30" s="218">
        <f t="shared" si="0"/>
        <v>385.84616420000594</v>
      </c>
      <c r="D30" s="223">
        <f t="shared" si="1"/>
        <v>3583.0569749058227</v>
      </c>
      <c r="E30" s="214"/>
      <c r="F30" s="214"/>
      <c r="G30" s="56"/>
    </row>
    <row r="31" spans="2:19">
      <c r="B31" s="211">
        <v>26</v>
      </c>
      <c r="C31" s="218">
        <f t="shared" si="0"/>
        <v>414.86816390992192</v>
      </c>
      <c r="D31" s="223">
        <f t="shared" si="1"/>
        <v>3997.9251388157445</v>
      </c>
      <c r="E31" s="214"/>
      <c r="F31" s="214"/>
      <c r="G31" s="56"/>
    </row>
    <row r="32" spans="2:19">
      <c r="B32" s="211">
        <v>27</v>
      </c>
      <c r="C32" s="218">
        <f t="shared" si="0"/>
        <v>444.85477835123294</v>
      </c>
      <c r="D32" s="223">
        <f t="shared" si="1"/>
        <v>4442.7799171669776</v>
      </c>
      <c r="E32" s="214"/>
      <c r="F32" s="214"/>
      <c r="G32" s="56"/>
    </row>
    <row r="33" spans="2:7">
      <c r="B33" s="211">
        <v>28</v>
      </c>
      <c r="C33" s="218">
        <f t="shared" si="0"/>
        <v>475.80056073629771</v>
      </c>
      <c r="D33" s="223">
        <f t="shared" si="1"/>
        <v>4918.5804779032751</v>
      </c>
      <c r="E33" s="214"/>
      <c r="F33" s="214"/>
      <c r="G33" s="56"/>
    </row>
    <row r="34" spans="2:7">
      <c r="B34" s="211">
        <v>29</v>
      </c>
      <c r="C34" s="218">
        <f t="shared" si="0"/>
        <v>507.70029158879396</v>
      </c>
      <c r="D34" s="223">
        <f t="shared" si="1"/>
        <v>5426.2807694920693</v>
      </c>
      <c r="E34" s="214"/>
      <c r="F34" s="214"/>
      <c r="G34" s="56"/>
    </row>
    <row r="35" spans="2:7">
      <c r="B35" s="216">
        <v>30</v>
      </c>
      <c r="C35" s="219">
        <f t="shared" si="0"/>
        <v>540.54896162435114</v>
      </c>
      <c r="D35" s="224">
        <f t="shared" si="1"/>
        <v>5966.8297311164206</v>
      </c>
      <c r="E35" s="214"/>
      <c r="F35" s="214"/>
      <c r="G35" s="56"/>
    </row>
    <row r="36" spans="2:7">
      <c r="B36" s="211">
        <v>31</v>
      </c>
      <c r="C36" s="218">
        <f t="shared" si="0"/>
        <v>574.34175645672678</v>
      </c>
      <c r="D36" s="223">
        <f t="shared" si="1"/>
        <v>6541.1714875731477</v>
      </c>
      <c r="E36" s="214"/>
      <c r="F36" s="214"/>
      <c r="G36" s="56"/>
    </row>
    <row r="37" spans="2:7">
      <c r="B37" s="211">
        <v>32</v>
      </c>
      <c r="C37" s="218">
        <f t="shared" si="0"/>
        <v>609.07404288139344</v>
      </c>
      <c r="D37" s="223">
        <f t="shared" si="1"/>
        <v>7150.245530454541</v>
      </c>
      <c r="E37" s="214"/>
      <c r="F37" s="214"/>
      <c r="G37" s="56"/>
    </row>
    <row r="38" spans="2:7">
      <c r="B38" s="211">
        <v>33</v>
      </c>
      <c r="C38" s="218">
        <f t="shared" si="0"/>
        <v>644.74135652893381</v>
      </c>
      <c r="D38" s="223">
        <f t="shared" si="1"/>
        <v>7794.9868869834745</v>
      </c>
      <c r="E38" s="214"/>
      <c r="F38" s="214"/>
      <c r="G38" s="56"/>
    </row>
    <row r="39" spans="2:7">
      <c r="B39" s="211">
        <v>34</v>
      </c>
      <c r="C39" s="218">
        <f t="shared" si="0"/>
        <v>681.33939071352472</v>
      </c>
      <c r="D39" s="223">
        <f t="shared" ref="D39:D70" si="2">D38+C39</f>
        <v>8476.3262776969987</v>
      </c>
      <c r="E39" s="214"/>
      <c r="F39" s="214"/>
      <c r="G39" s="56"/>
    </row>
    <row r="40" spans="2:7">
      <c r="B40" s="211">
        <v>35</v>
      </c>
      <c r="C40" s="218">
        <f t="shared" si="0"/>
        <v>718.86398632861085</v>
      </c>
      <c r="D40" s="223">
        <f t="shared" si="2"/>
        <v>9195.1902640256103</v>
      </c>
      <c r="E40" s="214"/>
      <c r="F40" s="214"/>
      <c r="G40" s="56"/>
    </row>
    <row r="41" spans="2:7">
      <c r="B41" s="211">
        <v>36</v>
      </c>
      <c r="C41" s="218">
        <f t="shared" si="0"/>
        <v>757.3111226639536</v>
      </c>
      <c r="D41" s="223">
        <f t="shared" si="2"/>
        <v>9952.5013866895642</v>
      </c>
      <c r="E41" s="214"/>
      <c r="F41" s="214"/>
      <c r="G41" s="56"/>
    </row>
    <row r="42" spans="2:7">
      <c r="B42" s="211">
        <v>37</v>
      </c>
      <c r="C42" s="218">
        <f t="shared" si="0"/>
        <v>796.67690903643984</v>
      </c>
      <c r="D42" s="223">
        <f t="shared" si="2"/>
        <v>10749.178295726004</v>
      </c>
      <c r="E42" s="214"/>
      <c r="F42" s="214"/>
      <c r="G42" s="56"/>
    </row>
    <row r="43" spans="2:7">
      <c r="B43" s="211">
        <v>38</v>
      </c>
      <c r="C43" s="218">
        <f t="shared" si="0"/>
        <v>836.95757714224669</v>
      </c>
      <c r="D43" s="223">
        <f t="shared" si="2"/>
        <v>11586.13587286825</v>
      </c>
      <c r="E43" s="214"/>
      <c r="F43" s="214"/>
      <c r="G43" s="56"/>
    </row>
    <row r="44" spans="2:7">
      <c r="B44" s="211">
        <v>39</v>
      </c>
      <c r="C44" s="218">
        <f t="shared" si="0"/>
        <v>878.14947405060786</v>
      </c>
      <c r="D44" s="223">
        <f t="shared" si="2"/>
        <v>12464.285346918858</v>
      </c>
      <c r="E44" s="214"/>
      <c r="F44" s="214"/>
      <c r="G44" s="56"/>
    </row>
    <row r="45" spans="2:7">
      <c r="B45" s="216">
        <v>40</v>
      </c>
      <c r="C45" s="219">
        <f t="shared" si="0"/>
        <v>920.24905577009781</v>
      </c>
      <c r="D45" s="224">
        <f t="shared" si="2"/>
        <v>13384.534402688956</v>
      </c>
      <c r="E45" s="214"/>
      <c r="F45" s="214"/>
      <c r="G45" s="56"/>
    </row>
    <row r="46" spans="2:7">
      <c r="B46" s="211">
        <v>41</v>
      </c>
      <c r="C46" s="218">
        <f t="shared" si="0"/>
        <v>963.25288132735147</v>
      </c>
      <c r="D46" s="223">
        <f t="shared" si="2"/>
        <v>14347.787284016307</v>
      </c>
      <c r="E46" s="214"/>
      <c r="F46" s="214"/>
      <c r="G46" s="56"/>
    </row>
    <row r="47" spans="2:7">
      <c r="B47" s="211">
        <v>42</v>
      </c>
      <c r="C47" s="218">
        <f t="shared" si="0"/>
        <v>1007.1576073057586</v>
      </c>
      <c r="D47" s="223">
        <f t="shared" si="2"/>
        <v>15354.944891322066</v>
      </c>
      <c r="E47" s="214"/>
      <c r="F47" s="214"/>
      <c r="G47" s="56"/>
    </row>
    <row r="48" spans="2:7">
      <c r="B48" s="211">
        <v>43</v>
      </c>
      <c r="C48" s="218">
        <f t="shared" si="0"/>
        <v>1051.9599827981938</v>
      </c>
      <c r="D48" s="223">
        <f t="shared" si="2"/>
        <v>16406.904874120261</v>
      </c>
      <c r="E48" s="214"/>
      <c r="F48" s="214"/>
      <c r="G48" s="56"/>
    </row>
    <row r="49" spans="2:7">
      <c r="B49" s="211">
        <v>44</v>
      </c>
      <c r="C49" s="218">
        <f t="shared" si="0"/>
        <v>1097.6568447333891</v>
      </c>
      <c r="D49" s="223">
        <f t="shared" si="2"/>
        <v>17504.561718853649</v>
      </c>
      <c r="E49" s="214"/>
      <c r="F49" s="214"/>
      <c r="G49" s="56"/>
    </row>
    <row r="50" spans="2:7">
      <c r="B50" s="211">
        <v>45</v>
      </c>
      <c r="C50" s="218">
        <f t="shared" si="0"/>
        <v>1144.2451135403392</v>
      </c>
      <c r="D50" s="223">
        <f t="shared" si="2"/>
        <v>18648.806832393988</v>
      </c>
      <c r="E50" s="214"/>
      <c r="F50" s="214"/>
      <c r="G50" s="56"/>
    </row>
    <row r="51" spans="2:7">
      <c r="B51" s="211">
        <v>46</v>
      </c>
      <c r="C51" s="218">
        <f t="shared" si="0"/>
        <v>1191.7217891192515</v>
      </c>
      <c r="D51" s="223">
        <f t="shared" si="2"/>
        <v>19840.52862151324</v>
      </c>
      <c r="E51" s="214"/>
      <c r="F51" s="214"/>
      <c r="G51" s="56"/>
    </row>
    <row r="52" spans="2:7">
      <c r="B52" s="211">
        <v>47</v>
      </c>
      <c r="C52" s="218">
        <f t="shared" si="0"/>
        <v>1240.0839470911078</v>
      </c>
      <c r="D52" s="223">
        <f t="shared" si="2"/>
        <v>21080.612568604349</v>
      </c>
      <c r="E52" s="214"/>
      <c r="F52" s="214"/>
      <c r="G52" s="56"/>
    </row>
    <row r="53" spans="2:7">
      <c r="B53" s="211">
        <v>48</v>
      </c>
      <c r="C53" s="218">
        <f t="shared" si="0"/>
        <v>1289.3287353010028</v>
      </c>
      <c r="D53" s="223">
        <f t="shared" si="2"/>
        <v>22369.941303905351</v>
      </c>
      <c r="E53" s="214"/>
      <c r="F53" s="214"/>
      <c r="G53" s="56"/>
    </row>
    <row r="54" spans="2:7">
      <c r="B54" s="211">
        <v>49</v>
      </c>
      <c r="C54" s="218">
        <f t="shared" si="0"/>
        <v>1339.4533705530935</v>
      </c>
      <c r="D54" s="223">
        <f t="shared" si="2"/>
        <v>23709.394674458443</v>
      </c>
      <c r="E54" s="214"/>
      <c r="F54" s="214"/>
      <c r="G54" s="56"/>
    </row>
    <row r="55" spans="2:7">
      <c r="B55" s="216">
        <v>50</v>
      </c>
      <c r="C55" s="219">
        <f t="shared" si="0"/>
        <v>1390.4551355573913</v>
      </c>
      <c r="D55" s="224">
        <f t="shared" si="2"/>
        <v>25099.849810015832</v>
      </c>
      <c r="E55" s="214"/>
      <c r="F55" s="214"/>
      <c r="G55" s="56"/>
    </row>
    <row r="56" spans="2:7">
      <c r="B56" s="211">
        <v>51</v>
      </c>
      <c r="C56" s="218">
        <f t="shared" si="0"/>
        <v>1442.3313760706121</v>
      </c>
      <c r="D56" s="223">
        <f t="shared" si="2"/>
        <v>26542.181186086444</v>
      </c>
      <c r="E56" s="214"/>
      <c r="F56" s="214"/>
      <c r="G56" s="56"/>
    </row>
    <row r="57" spans="2:7">
      <c r="B57" s="211">
        <v>52</v>
      </c>
      <c r="C57" s="218">
        <f t="shared" si="0"/>
        <v>1495.0794982152038</v>
      </c>
      <c r="D57" s="223">
        <f t="shared" si="2"/>
        <v>28037.260684301647</v>
      </c>
      <c r="E57" s="214"/>
      <c r="F57" s="214"/>
      <c r="G57" s="56"/>
    </row>
    <row r="58" spans="2:7">
      <c r="B58" s="211">
        <v>53</v>
      </c>
      <c r="C58" s="218">
        <f t="shared" si="0"/>
        <v>1548.6969659621466</v>
      </c>
      <c r="D58" s="223">
        <f t="shared" si="2"/>
        <v>29585.957650263794</v>
      </c>
      <c r="E58" s="214"/>
      <c r="F58" s="214"/>
      <c r="G58" s="56"/>
    </row>
    <row r="59" spans="2:7">
      <c r="B59" s="211">
        <v>54</v>
      </c>
      <c r="C59" s="218">
        <f t="shared" si="0"/>
        <v>1603.1812987646606</v>
      </c>
      <c r="D59" s="223">
        <f t="shared" si="2"/>
        <v>31189.138949028453</v>
      </c>
      <c r="E59" s="214"/>
      <c r="F59" s="214"/>
      <c r="G59" s="56"/>
    </row>
    <row r="60" spans="2:7">
      <c r="B60" s="211">
        <v>55</v>
      </c>
      <c r="C60" s="218">
        <f t="shared" si="0"/>
        <v>1658.5300693310639</v>
      </c>
      <c r="D60" s="223">
        <f t="shared" si="2"/>
        <v>32847.66901835952</v>
      </c>
      <c r="E60" s="214"/>
      <c r="F60" s="214"/>
      <c r="G60" s="56"/>
    </row>
    <row r="61" spans="2:7">
      <c r="B61" s="211">
        <v>56</v>
      </c>
      <c r="C61" s="218">
        <f t="shared" si="0"/>
        <v>1714.7409015262369</v>
      </c>
      <c r="D61" s="223">
        <f t="shared" si="2"/>
        <v>34562.409919885758</v>
      </c>
      <c r="E61" s="214"/>
      <c r="F61" s="214"/>
      <c r="G61" s="56"/>
    </row>
    <row r="62" spans="2:7">
      <c r="B62" s="211">
        <v>57</v>
      </c>
      <c r="C62" s="218">
        <f t="shared" si="0"/>
        <v>1771.8114683920603</v>
      </c>
      <c r="D62" s="223">
        <f t="shared" si="2"/>
        <v>36334.221388277816</v>
      </c>
      <c r="E62" s="214"/>
      <c r="F62" s="214"/>
      <c r="G62" s="56"/>
    </row>
    <row r="63" spans="2:7">
      <c r="B63" s="211">
        <v>58</v>
      </c>
      <c r="C63" s="218">
        <f t="shared" si="0"/>
        <v>1829.7394902781268</v>
      </c>
      <c r="D63" s="223">
        <f t="shared" si="2"/>
        <v>38163.960878555939</v>
      </c>
      <c r="E63" s="214"/>
      <c r="F63" s="214"/>
      <c r="G63" s="56"/>
    </row>
    <row r="64" spans="2:7">
      <c r="B64" s="211">
        <v>59</v>
      </c>
      <c r="C64" s="218">
        <f t="shared" si="0"/>
        <v>1888.5227330747282</v>
      </c>
      <c r="D64" s="223">
        <f t="shared" si="2"/>
        <v>40052.483611630669</v>
      </c>
      <c r="E64" s="214"/>
      <c r="F64" s="214"/>
      <c r="G64" s="56"/>
    </row>
    <row r="65" spans="2:7">
      <c r="B65" s="216">
        <v>60</v>
      </c>
      <c r="C65" s="219">
        <f t="shared" si="0"/>
        <v>1948.1590065409102</v>
      </c>
      <c r="D65" s="224">
        <f t="shared" si="2"/>
        <v>42000.64261817158</v>
      </c>
      <c r="E65" s="214"/>
      <c r="F65" s="214"/>
      <c r="G65" s="56"/>
    </row>
    <row r="66" spans="2:7">
      <c r="B66" s="211">
        <v>61</v>
      </c>
      <c r="C66" s="218">
        <f t="shared" si="0"/>
        <v>2008.6461627209694</v>
      </c>
      <c r="D66" s="223">
        <f t="shared" si="2"/>
        <v>44009.288780892552</v>
      </c>
      <c r="E66" s="214"/>
      <c r="F66" s="214"/>
      <c r="G66" s="56"/>
    </row>
    <row r="67" spans="2:7">
      <c r="B67" s="211">
        <v>62</v>
      </c>
      <c r="C67" s="218">
        <f t="shared" si="0"/>
        <v>2069.9820944432795</v>
      </c>
      <c r="D67" s="223">
        <f t="shared" si="2"/>
        <v>46079.270875335831</v>
      </c>
      <c r="E67" s="214"/>
      <c r="F67" s="214"/>
      <c r="G67" s="56"/>
    </row>
    <row r="68" spans="2:7">
      <c r="B68" s="211">
        <v>63</v>
      </c>
      <c r="C68" s="218">
        <f t="shared" si="0"/>
        <v>2132.1647338959724</v>
      </c>
      <c r="D68" s="223">
        <f t="shared" si="2"/>
        <v>48211.435609231805</v>
      </c>
      <c r="E68" s="214"/>
      <c r="F68" s="214"/>
      <c r="G68" s="56"/>
    </row>
    <row r="69" spans="2:7">
      <c r="B69" s="211">
        <v>64</v>
      </c>
      <c r="C69" s="218">
        <f t="shared" si="0"/>
        <v>2195.1920512743286</v>
      </c>
      <c r="D69" s="223">
        <f t="shared" si="2"/>
        <v>50406.627660506136</v>
      </c>
      <c r="E69" s="214"/>
      <c r="F69" s="214"/>
      <c r="G69" s="56"/>
    </row>
    <row r="70" spans="2:7">
      <c r="B70" s="211">
        <v>65</v>
      </c>
      <c r="C70" s="218">
        <f t="shared" si="0"/>
        <v>2259.0620534951745</v>
      </c>
      <c r="D70" s="223">
        <f t="shared" si="2"/>
        <v>52665.68971400131</v>
      </c>
      <c r="E70" s="214"/>
      <c r="F70" s="214"/>
      <c r="G70" s="56"/>
    </row>
    <row r="71" spans="2:7">
      <c r="B71" s="211">
        <v>66</v>
      </c>
      <c r="C71" s="218">
        <f t="shared" ref="C71:C95" si="3">(B71^1.85+0.2)</f>
        <v>2323.7727829740538</v>
      </c>
      <c r="D71" s="223">
        <f t="shared" ref="D71:D95" si="4">D70+C71</f>
        <v>54989.462496975364</v>
      </c>
      <c r="E71" s="214"/>
      <c r="F71" s="214"/>
      <c r="G71" s="56"/>
    </row>
    <row r="72" spans="2:7">
      <c r="B72" s="211">
        <v>67</v>
      </c>
      <c r="C72" s="218">
        <f t="shared" si="3"/>
        <v>2389.3223164611095</v>
      </c>
      <c r="D72" s="223">
        <f t="shared" si="4"/>
        <v>57378.784813436476</v>
      </c>
      <c r="E72" s="214"/>
      <c r="F72" s="214"/>
      <c r="G72" s="56"/>
    </row>
    <row r="73" spans="2:7">
      <c r="B73" s="211">
        <v>68</v>
      </c>
      <c r="C73" s="218">
        <f t="shared" si="3"/>
        <v>2455.7087639320916</v>
      </c>
      <c r="D73" s="223">
        <f t="shared" si="4"/>
        <v>59834.493577368565</v>
      </c>
      <c r="E73" s="214"/>
      <c r="F73" s="214"/>
      <c r="G73" s="56"/>
    </row>
    <row r="74" spans="2:7">
      <c r="B74" s="211">
        <v>69</v>
      </c>
      <c r="C74" s="218">
        <f t="shared" si="3"/>
        <v>2522.9302675310505</v>
      </c>
      <c r="D74" s="223">
        <f t="shared" si="4"/>
        <v>62357.423844899618</v>
      </c>
      <c r="E74" s="214"/>
      <c r="F74" s="214"/>
      <c r="G74" s="56"/>
    </row>
    <row r="75" spans="2:7">
      <c r="B75" s="216">
        <v>70</v>
      </c>
      <c r="C75" s="219">
        <f t="shared" si="3"/>
        <v>2590.985000561619</v>
      </c>
      <c r="D75" s="224">
        <f t="shared" si="4"/>
        <v>64948.408845461236</v>
      </c>
      <c r="E75" s="214"/>
      <c r="F75" s="214"/>
      <c r="G75" s="56"/>
    </row>
    <row r="76" spans="2:7">
      <c r="B76" s="211">
        <v>71</v>
      </c>
      <c r="C76" s="218">
        <f t="shared" si="3"/>
        <v>2659.8711665239707</v>
      </c>
      <c r="D76" s="223">
        <f t="shared" si="4"/>
        <v>67608.280011985204</v>
      </c>
      <c r="E76" s="214"/>
      <c r="F76" s="214"/>
      <c r="G76" s="56"/>
    </row>
    <row r="77" spans="2:7">
      <c r="B77" s="211">
        <v>72</v>
      </c>
      <c r="C77" s="218">
        <f t="shared" si="3"/>
        <v>2729.586998194774</v>
      </c>
      <c r="D77" s="223">
        <f t="shared" si="4"/>
        <v>70337.86701017998</v>
      </c>
      <c r="E77" s="214"/>
      <c r="F77" s="214"/>
      <c r="G77" s="56"/>
    </row>
    <row r="78" spans="2:7">
      <c r="B78" s="211">
        <v>73</v>
      </c>
      <c r="C78" s="218">
        <f t="shared" si="3"/>
        <v>2800.130756747637</v>
      </c>
      <c r="D78" s="223">
        <f t="shared" si="4"/>
        <v>73137.997766927612</v>
      </c>
      <c r="E78" s="214"/>
      <c r="F78" s="214"/>
      <c r="G78" s="56"/>
    </row>
    <row r="79" spans="2:7">
      <c r="B79" s="211">
        <v>74</v>
      </c>
      <c r="C79" s="218">
        <f t="shared" si="3"/>
        <v>2871.5007309117464</v>
      </c>
      <c r="D79" s="223">
        <f t="shared" si="4"/>
        <v>76009.498497839362</v>
      </c>
      <c r="E79" s="214"/>
      <c r="F79" s="214"/>
      <c r="G79" s="56"/>
    </row>
    <row r="80" spans="2:7">
      <c r="B80" s="211">
        <v>75</v>
      </c>
      <c r="C80" s="218">
        <f t="shared" si="3"/>
        <v>2943.6952361665053</v>
      </c>
      <c r="D80" s="223">
        <f t="shared" si="4"/>
        <v>78953.193734005865</v>
      </c>
      <c r="E80" s="214"/>
      <c r="F80" s="214"/>
      <c r="G80" s="56"/>
    </row>
    <row r="81" spans="2:7">
      <c r="B81" s="211">
        <v>76</v>
      </c>
      <c r="C81" s="218">
        <f t="shared" si="3"/>
        <v>3016.7126139702682</v>
      </c>
      <c r="D81" s="223">
        <f t="shared" si="4"/>
        <v>81969.906347976139</v>
      </c>
      <c r="E81" s="214"/>
      <c r="F81" s="214"/>
      <c r="G81" s="56"/>
    </row>
    <row r="82" spans="2:7">
      <c r="B82" s="211">
        <v>77</v>
      </c>
      <c r="C82" s="218">
        <f t="shared" si="3"/>
        <v>3090.5512310211261</v>
      </c>
      <c r="D82" s="223">
        <f t="shared" si="4"/>
        <v>85060.457578997259</v>
      </c>
      <c r="E82" s="214"/>
      <c r="F82" s="214"/>
      <c r="G82" s="56"/>
    </row>
    <row r="83" spans="2:7">
      <c r="B83" s="211">
        <v>78</v>
      </c>
      <c r="C83" s="218">
        <f t="shared" si="3"/>
        <v>3165.2094785481831</v>
      </c>
      <c r="D83" s="223">
        <f t="shared" si="4"/>
        <v>88225.667057545448</v>
      </c>
      <c r="E83" s="214"/>
      <c r="F83" s="214"/>
      <c r="G83" s="56"/>
    </row>
    <row r="84" spans="2:7">
      <c r="B84" s="211">
        <v>79</v>
      </c>
      <c r="C84" s="218">
        <f t="shared" si="3"/>
        <v>3240.6857716315862</v>
      </c>
      <c r="D84" s="223">
        <f t="shared" si="4"/>
        <v>91466.352829177034</v>
      </c>
      <c r="E84" s="214"/>
      <c r="F84" s="214"/>
      <c r="G84" s="56"/>
    </row>
    <row r="85" spans="2:7">
      <c r="B85" s="216">
        <v>80</v>
      </c>
      <c r="C85" s="219">
        <f t="shared" si="3"/>
        <v>3316.9785485498314</v>
      </c>
      <c r="D85" s="224">
        <f t="shared" si="4"/>
        <v>94783.331377726863</v>
      </c>
      <c r="E85" s="214"/>
      <c r="F85" s="214"/>
      <c r="G85" s="56"/>
    </row>
    <row r="86" spans="2:7">
      <c r="B86" s="211">
        <v>81</v>
      </c>
      <c r="C86" s="218">
        <f t="shared" si="3"/>
        <v>3394.086270152894</v>
      </c>
      <c r="D86" s="223">
        <f t="shared" si="4"/>
        <v>98177.41764787976</v>
      </c>
      <c r="E86" s="214"/>
      <c r="F86" s="214"/>
      <c r="G86" s="56"/>
    </row>
    <row r="87" spans="2:7">
      <c r="B87" s="211">
        <v>82</v>
      </c>
      <c r="C87" s="218">
        <f t="shared" si="3"/>
        <v>3472.0074192598759</v>
      </c>
      <c r="D87" s="223">
        <f t="shared" si="4"/>
        <v>101649.42506713963</v>
      </c>
      <c r="E87" s="214"/>
      <c r="F87" s="214"/>
      <c r="G87" s="56"/>
    </row>
    <row r="88" spans="2:7">
      <c r="B88" s="211">
        <v>83</v>
      </c>
      <c r="C88" s="218">
        <f t="shared" si="3"/>
        <v>3550.7405000799245</v>
      </c>
      <c r="D88" s="223">
        <f t="shared" si="4"/>
        <v>105200.16556721955</v>
      </c>
      <c r="E88" s="214"/>
      <c r="F88" s="214"/>
      <c r="G88" s="56"/>
    </row>
    <row r="89" spans="2:7">
      <c r="B89" s="211">
        <v>84</v>
      </c>
      <c r="C89" s="218">
        <f t="shared" si="3"/>
        <v>3630.2840376552372</v>
      </c>
      <c r="D89" s="223">
        <f t="shared" si="4"/>
        <v>108830.44960487478</v>
      </c>
      <c r="E89" s="214"/>
      <c r="F89" s="214"/>
      <c r="G89" s="56"/>
    </row>
    <row r="90" spans="2:7">
      <c r="B90" s="211">
        <v>85</v>
      </c>
      <c r="C90" s="218">
        <f t="shared" si="3"/>
        <v>3710.6365773250823</v>
      </c>
      <c r="D90" s="223">
        <f t="shared" si="4"/>
        <v>112541.08618219987</v>
      </c>
      <c r="E90" s="214"/>
      <c r="F90" s="214"/>
      <c r="G90" s="56"/>
    </row>
    <row r="91" spans="2:7">
      <c r="B91" s="211">
        <v>86</v>
      </c>
      <c r="C91" s="218">
        <f t="shared" si="3"/>
        <v>3791.7966842097194</v>
      </c>
      <c r="D91" s="223">
        <f t="shared" si="4"/>
        <v>116332.88286640959</v>
      </c>
      <c r="E91" s="214"/>
      <c r="F91" s="214"/>
      <c r="G91" s="56"/>
    </row>
    <row r="92" spans="2:7">
      <c r="B92" s="211">
        <v>87</v>
      </c>
      <c r="C92" s="218">
        <f t="shared" si="3"/>
        <v>3873.7629427134484</v>
      </c>
      <c r="D92" s="223">
        <f t="shared" si="4"/>
        <v>120206.64580912305</v>
      </c>
      <c r="E92" s="214"/>
      <c r="F92" s="214"/>
      <c r="G92" s="56"/>
    </row>
    <row r="93" spans="2:7">
      <c r="B93" s="211">
        <v>88</v>
      </c>
      <c r="C93" s="218">
        <f t="shared" si="3"/>
        <v>3956.5339560455582</v>
      </c>
      <c r="D93" s="223">
        <f t="shared" si="4"/>
        <v>124163.17976516861</v>
      </c>
      <c r="E93" s="214"/>
      <c r="F93" s="214"/>
      <c r="G93" s="56"/>
    </row>
    <row r="94" spans="2:7">
      <c r="B94" s="211">
        <v>89</v>
      </c>
      <c r="C94" s="218">
        <f t="shared" si="3"/>
        <v>4040.1083457587042</v>
      </c>
      <c r="D94" s="223">
        <f t="shared" si="4"/>
        <v>128203.28811092731</v>
      </c>
      <c r="E94" s="214"/>
      <c r="F94" s="214"/>
      <c r="G94" s="56"/>
    </row>
    <row r="95" spans="2:7" ht="17.25" thickBot="1">
      <c r="B95" s="239">
        <v>90</v>
      </c>
      <c r="C95" s="240">
        <f t="shared" si="3"/>
        <v>4124.4847513035611</v>
      </c>
      <c r="D95" s="241">
        <f t="shared" si="4"/>
        <v>132327.77286223086</v>
      </c>
      <c r="E95" s="214"/>
      <c r="F95" s="214"/>
      <c r="G95" s="56"/>
    </row>
  </sheetData>
  <mergeCells count="18">
    <mergeCell ref="B3:C3"/>
    <mergeCell ref="L2:M2"/>
    <mergeCell ref="L3:M3"/>
    <mergeCell ref="N2:O2"/>
    <mergeCell ref="N3:O3"/>
    <mergeCell ref="B2:D2"/>
    <mergeCell ref="F2:G2"/>
    <mergeCell ref="H2:I2"/>
    <mergeCell ref="J2:K2"/>
    <mergeCell ref="F3:G3"/>
    <mergeCell ref="H3:I3"/>
    <mergeCell ref="J3:K3"/>
    <mergeCell ref="M12:S13"/>
    <mergeCell ref="M5:S5"/>
    <mergeCell ref="M6:S6"/>
    <mergeCell ref="M7:S7"/>
    <mergeCell ref="M8:S8"/>
    <mergeCell ref="M10:S10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Y95"/>
  <sheetViews>
    <sheetView zoomScale="85" zoomScaleNormal="85" workbookViewId="0">
      <selection activeCell="B4" sqref="B4"/>
    </sheetView>
  </sheetViews>
  <sheetFormatPr defaultRowHeight="16.5"/>
  <cols>
    <col min="1" max="1" width="1.625" customWidth="1"/>
    <col min="3" max="3" width="17.875" customWidth="1"/>
    <col min="4" max="4" width="15" bestFit="1" customWidth="1"/>
    <col min="5" max="5" width="13.75" bestFit="1" customWidth="1"/>
    <col min="6" max="6" width="18" bestFit="1" customWidth="1"/>
    <col min="7" max="7" width="15.25" customWidth="1"/>
    <col min="8" max="8" width="15" bestFit="1" customWidth="1"/>
    <col min="9" max="9" width="13.625" bestFit="1" customWidth="1"/>
  </cols>
  <sheetData>
    <row r="1" spans="2:25" ht="17.25" thickBot="1"/>
    <row r="2" spans="2:25" ht="38.25" thickBot="1">
      <c r="B2" s="369" t="s">
        <v>110</v>
      </c>
      <c r="C2" s="370"/>
      <c r="D2" s="370"/>
      <c r="E2" s="370"/>
      <c r="F2" s="370"/>
      <c r="G2" s="370"/>
      <c r="H2" s="370"/>
      <c r="I2" s="371"/>
    </row>
    <row r="3" spans="2:25" ht="17.25" thickBot="1">
      <c r="B3" s="372" t="s">
        <v>127</v>
      </c>
      <c r="C3" s="373"/>
      <c r="D3" s="373"/>
      <c r="E3" s="373"/>
      <c r="F3" s="373"/>
      <c r="G3" s="374"/>
      <c r="H3" s="375" t="s">
        <v>92</v>
      </c>
      <c r="I3" s="377"/>
    </row>
    <row r="4" spans="2:25" ht="17.25" thickBot="1"/>
    <row r="5" spans="2:25" ht="35.25" thickBot="1">
      <c r="B5" s="235" t="s">
        <v>101</v>
      </c>
      <c r="C5" s="236" t="s">
        <v>108</v>
      </c>
      <c r="D5" s="237" t="s">
        <v>104</v>
      </c>
      <c r="E5" s="236" t="s">
        <v>105</v>
      </c>
      <c r="F5" s="237" t="s">
        <v>102</v>
      </c>
      <c r="G5" s="236" t="s">
        <v>106</v>
      </c>
      <c r="H5" s="237" t="s">
        <v>107</v>
      </c>
      <c r="I5" s="236" t="s">
        <v>103</v>
      </c>
      <c r="S5" s="410" t="s">
        <v>109</v>
      </c>
      <c r="T5" s="411"/>
      <c r="U5" s="411"/>
      <c r="V5" s="411"/>
      <c r="W5" s="411"/>
      <c r="X5" s="411"/>
      <c r="Y5" s="412"/>
    </row>
    <row r="6" spans="2:25" ht="17.25">
      <c r="B6" s="230">
        <v>1</v>
      </c>
      <c r="C6" s="231">
        <f>'성장 곡선'!C6*60</f>
        <v>72</v>
      </c>
      <c r="D6" s="232">
        <v>10</v>
      </c>
      <c r="E6" s="263">
        <f>500+POWER(B6,2)</f>
        <v>501</v>
      </c>
      <c r="F6" s="264">
        <f>ROUND(C6/D6,0)</f>
        <v>7</v>
      </c>
      <c r="G6" s="265">
        <f>ROUND(E6*F6,0)</f>
        <v>3507</v>
      </c>
      <c r="H6" s="264">
        <f>ROUND(I6-G6,0)</f>
        <v>1754</v>
      </c>
      <c r="I6" s="263">
        <f>G6*1.5</f>
        <v>5260.5</v>
      </c>
      <c r="S6" s="413" t="s">
        <v>111</v>
      </c>
      <c r="T6" s="414"/>
      <c r="U6" s="414"/>
      <c r="V6" s="414"/>
      <c r="W6" s="414"/>
      <c r="X6" s="414"/>
      <c r="Y6" s="415"/>
    </row>
    <row r="7" spans="2:25" ht="17.25">
      <c r="B7" s="211">
        <v>2</v>
      </c>
      <c r="C7" s="233">
        <f>'성장 곡선'!C7*60</f>
        <v>228.30011102659927</v>
      </c>
      <c r="D7" s="234">
        <v>10</v>
      </c>
      <c r="E7" s="266">
        <f t="shared" ref="E7:E70" si="0">500+POWER(B7,2)</f>
        <v>504</v>
      </c>
      <c r="F7" s="267">
        <f>ROUND(C7/D7,0)</f>
        <v>23</v>
      </c>
      <c r="G7" s="268">
        <f t="shared" ref="G7:G70" si="1">ROUND(E7*F7,0)</f>
        <v>11592</v>
      </c>
      <c r="H7" s="267">
        <f t="shared" ref="H7:H70" si="2">ROUND(I7-G7,0)</f>
        <v>5796</v>
      </c>
      <c r="I7" s="266">
        <f t="shared" ref="I7:I70" si="3">G7*1.5</f>
        <v>17388</v>
      </c>
      <c r="S7" s="409"/>
      <c r="T7" s="407"/>
      <c r="U7" s="407"/>
      <c r="V7" s="407"/>
      <c r="W7" s="407"/>
      <c r="X7" s="407"/>
      <c r="Y7" s="408"/>
    </row>
    <row r="8" spans="2:25" ht="17.25">
      <c r="B8" s="211">
        <v>3</v>
      </c>
      <c r="C8" s="233">
        <f>'성장 곡선'!C8*60</f>
        <v>469.95791729538917</v>
      </c>
      <c r="D8" s="234">
        <v>10</v>
      </c>
      <c r="E8" s="266">
        <f t="shared" si="0"/>
        <v>509</v>
      </c>
      <c r="F8" s="267">
        <f t="shared" ref="F8:F71" si="4">ROUND(C8/D8,0)</f>
        <v>47</v>
      </c>
      <c r="G8" s="268">
        <f t="shared" si="1"/>
        <v>23923</v>
      </c>
      <c r="H8" s="267">
        <f t="shared" si="2"/>
        <v>11962</v>
      </c>
      <c r="I8" s="266">
        <f t="shared" si="3"/>
        <v>35884.5</v>
      </c>
      <c r="S8" s="406" t="s">
        <v>114</v>
      </c>
      <c r="T8" s="419"/>
      <c r="U8" s="419"/>
      <c r="V8" s="419"/>
      <c r="W8" s="419"/>
      <c r="X8" s="419"/>
      <c r="Y8" s="420"/>
    </row>
    <row r="9" spans="2:25" ht="17.25">
      <c r="B9" s="211">
        <v>4</v>
      </c>
      <c r="C9" s="233">
        <f>'성장 곡선'!C9*60</f>
        <v>791.76230050198603</v>
      </c>
      <c r="D9" s="234">
        <v>10</v>
      </c>
      <c r="E9" s="266">
        <f t="shared" si="0"/>
        <v>516</v>
      </c>
      <c r="F9" s="267">
        <f t="shared" si="4"/>
        <v>79</v>
      </c>
      <c r="G9" s="268">
        <f t="shared" si="1"/>
        <v>40764</v>
      </c>
      <c r="H9" s="267">
        <f t="shared" si="2"/>
        <v>20382</v>
      </c>
      <c r="I9" s="266">
        <f t="shared" si="3"/>
        <v>61146</v>
      </c>
      <c r="S9" s="249"/>
      <c r="T9" s="250"/>
      <c r="U9" s="250"/>
      <c r="V9" s="250"/>
      <c r="W9" s="250"/>
      <c r="X9" s="250"/>
      <c r="Y9" s="251"/>
    </row>
    <row r="10" spans="2:25" ht="17.25">
      <c r="B10" s="211">
        <v>5</v>
      </c>
      <c r="C10" s="233">
        <f>'성장 곡선'!C10*60</f>
        <v>1190.2725453476462</v>
      </c>
      <c r="D10" s="234">
        <v>10</v>
      </c>
      <c r="E10" s="266">
        <f t="shared" si="0"/>
        <v>525</v>
      </c>
      <c r="F10" s="267">
        <f t="shared" si="4"/>
        <v>119</v>
      </c>
      <c r="G10" s="268">
        <f t="shared" si="1"/>
        <v>62475</v>
      </c>
      <c r="H10" s="267">
        <f t="shared" si="2"/>
        <v>31238</v>
      </c>
      <c r="I10" s="266">
        <f t="shared" si="3"/>
        <v>93712.5</v>
      </c>
      <c r="S10" s="409" t="s">
        <v>112</v>
      </c>
      <c r="T10" s="407"/>
      <c r="U10" s="407"/>
      <c r="V10" s="407"/>
      <c r="W10" s="407"/>
      <c r="X10" s="407"/>
      <c r="Y10" s="408"/>
    </row>
    <row r="11" spans="2:25" ht="17.25">
      <c r="B11" s="211">
        <v>6</v>
      </c>
      <c r="C11" s="233">
        <f>'성장 곡선'!C11*60</f>
        <v>1662.939139275047</v>
      </c>
      <c r="D11" s="234">
        <v>10</v>
      </c>
      <c r="E11" s="266">
        <f t="shared" si="0"/>
        <v>536</v>
      </c>
      <c r="F11" s="267">
        <f t="shared" si="4"/>
        <v>166</v>
      </c>
      <c r="G11" s="268">
        <f t="shared" si="1"/>
        <v>88976</v>
      </c>
      <c r="H11" s="267">
        <f t="shared" si="2"/>
        <v>44488</v>
      </c>
      <c r="I11" s="266">
        <f t="shared" si="3"/>
        <v>133464</v>
      </c>
      <c r="S11" s="249"/>
      <c r="T11" s="250"/>
      <c r="U11" s="250"/>
      <c r="V11" s="250"/>
      <c r="W11" s="250"/>
      <c r="X11" s="250"/>
      <c r="Y11" s="251"/>
    </row>
    <row r="12" spans="2:25" ht="16.5" customHeight="1">
      <c r="B12" s="211">
        <v>7</v>
      </c>
      <c r="C12" s="233">
        <f>'성장 곡선'!C12*60</f>
        <v>2207.7486500032596</v>
      </c>
      <c r="D12" s="234">
        <v>10</v>
      </c>
      <c r="E12" s="266">
        <f t="shared" si="0"/>
        <v>549</v>
      </c>
      <c r="F12" s="267">
        <f t="shared" si="4"/>
        <v>221</v>
      </c>
      <c r="G12" s="268">
        <f t="shared" si="1"/>
        <v>121329</v>
      </c>
      <c r="H12" s="267">
        <f t="shared" si="2"/>
        <v>60665</v>
      </c>
      <c r="I12" s="266">
        <f t="shared" si="3"/>
        <v>181993.5</v>
      </c>
      <c r="S12" s="406" t="s">
        <v>113</v>
      </c>
      <c r="T12" s="419"/>
      <c r="U12" s="419"/>
      <c r="V12" s="419"/>
      <c r="W12" s="419"/>
      <c r="X12" s="419"/>
      <c r="Y12" s="420"/>
    </row>
    <row r="13" spans="2:25" ht="16.5" customHeight="1">
      <c r="B13" s="211">
        <v>8</v>
      </c>
      <c r="C13" s="233">
        <f>'성장 곡선'!C13*60</f>
        <v>2823.0445362156011</v>
      </c>
      <c r="D13" s="234">
        <v>10</v>
      </c>
      <c r="E13" s="266">
        <f t="shared" si="0"/>
        <v>564</v>
      </c>
      <c r="F13" s="267">
        <f t="shared" si="4"/>
        <v>282</v>
      </c>
      <c r="G13" s="268">
        <f t="shared" si="1"/>
        <v>159048</v>
      </c>
      <c r="H13" s="267">
        <f t="shared" si="2"/>
        <v>79524</v>
      </c>
      <c r="I13" s="266">
        <f t="shared" si="3"/>
        <v>238572</v>
      </c>
      <c r="S13" s="406"/>
      <c r="T13" s="419"/>
      <c r="U13" s="419"/>
      <c r="V13" s="419"/>
      <c r="W13" s="419"/>
      <c r="X13" s="419"/>
      <c r="Y13" s="420"/>
    </row>
    <row r="14" spans="2:25" ht="17.25">
      <c r="B14" s="211">
        <v>9</v>
      </c>
      <c r="C14" s="233">
        <f>'성장 곡선'!C14*60</f>
        <v>3507.4242335588424</v>
      </c>
      <c r="D14" s="234">
        <v>10</v>
      </c>
      <c r="E14" s="266">
        <f t="shared" si="0"/>
        <v>581</v>
      </c>
      <c r="F14" s="267">
        <f t="shared" si="4"/>
        <v>351</v>
      </c>
      <c r="G14" s="268">
        <f t="shared" si="1"/>
        <v>203931</v>
      </c>
      <c r="H14" s="267">
        <f t="shared" si="2"/>
        <v>101966</v>
      </c>
      <c r="I14" s="266">
        <f t="shared" si="3"/>
        <v>305896.5</v>
      </c>
      <c r="S14" s="249"/>
      <c r="T14" s="250"/>
      <c r="U14" s="250"/>
      <c r="V14" s="250"/>
      <c r="W14" s="250"/>
      <c r="X14" s="250"/>
      <c r="Y14" s="251"/>
    </row>
    <row r="15" spans="2:25" ht="17.25">
      <c r="B15" s="216">
        <v>10</v>
      </c>
      <c r="C15" s="224">
        <f>'성장 곡선'!C15*60</f>
        <v>4259.6747063048324</v>
      </c>
      <c r="D15" s="238">
        <v>10</v>
      </c>
      <c r="E15" s="269">
        <f t="shared" si="0"/>
        <v>600</v>
      </c>
      <c r="F15" s="270">
        <f t="shared" si="4"/>
        <v>426</v>
      </c>
      <c r="G15" s="269">
        <f t="shared" si="1"/>
        <v>255600</v>
      </c>
      <c r="H15" s="270">
        <f t="shared" si="2"/>
        <v>127800</v>
      </c>
      <c r="I15" s="269">
        <f t="shared" si="3"/>
        <v>383400</v>
      </c>
      <c r="S15" s="409" t="s">
        <v>115</v>
      </c>
      <c r="T15" s="407"/>
      <c r="U15" s="407"/>
      <c r="V15" s="407"/>
      <c r="W15" s="407"/>
      <c r="X15" s="407"/>
      <c r="Y15" s="408"/>
    </row>
    <row r="16" spans="2:25" ht="17.25">
      <c r="B16" s="211">
        <v>11</v>
      </c>
      <c r="C16" s="233">
        <f>'성장 곡선'!C16*60</f>
        <v>5078.7294873024457</v>
      </c>
      <c r="D16" s="234">
        <v>10</v>
      </c>
      <c r="E16" s="266">
        <f t="shared" si="0"/>
        <v>621</v>
      </c>
      <c r="F16" s="267">
        <f t="shared" si="4"/>
        <v>508</v>
      </c>
      <c r="G16" s="268">
        <f t="shared" si="1"/>
        <v>315468</v>
      </c>
      <c r="H16" s="267">
        <f t="shared" si="2"/>
        <v>157734</v>
      </c>
      <c r="I16" s="266">
        <f t="shared" si="3"/>
        <v>473202</v>
      </c>
      <c r="S16" s="249"/>
      <c r="T16" s="250"/>
      <c r="U16" s="250"/>
      <c r="V16" s="250"/>
      <c r="W16" s="250"/>
      <c r="X16" s="250"/>
      <c r="Y16" s="251"/>
    </row>
    <row r="17" spans="2:25">
      <c r="B17" s="211">
        <v>12</v>
      </c>
      <c r="C17" s="233">
        <f>'성장 곡선'!C17*60</f>
        <v>5963.638652055849</v>
      </c>
      <c r="D17" s="234">
        <v>10</v>
      </c>
      <c r="E17" s="266">
        <f t="shared" si="0"/>
        <v>644</v>
      </c>
      <c r="F17" s="267">
        <f t="shared" si="4"/>
        <v>596</v>
      </c>
      <c r="G17" s="268">
        <f t="shared" si="1"/>
        <v>383824</v>
      </c>
      <c r="H17" s="267">
        <f t="shared" si="2"/>
        <v>191912</v>
      </c>
      <c r="I17" s="266">
        <f t="shared" si="3"/>
        <v>575736</v>
      </c>
      <c r="S17" s="406" t="s">
        <v>116</v>
      </c>
      <c r="T17" s="407"/>
      <c r="U17" s="407"/>
      <c r="V17" s="407"/>
      <c r="W17" s="407"/>
      <c r="X17" s="407"/>
      <c r="Y17" s="408"/>
    </row>
    <row r="18" spans="2:25">
      <c r="B18" s="211">
        <v>13</v>
      </c>
      <c r="C18" s="233">
        <f>'성장 곡선'!C18*60</f>
        <v>6913.5470356931164</v>
      </c>
      <c r="D18" s="234">
        <v>10</v>
      </c>
      <c r="E18" s="266">
        <f t="shared" si="0"/>
        <v>669</v>
      </c>
      <c r="F18" s="267">
        <f t="shared" si="4"/>
        <v>691</v>
      </c>
      <c r="G18" s="268">
        <f t="shared" si="1"/>
        <v>462279</v>
      </c>
      <c r="H18" s="267">
        <f t="shared" si="2"/>
        <v>231140</v>
      </c>
      <c r="I18" s="266">
        <f t="shared" si="3"/>
        <v>693418.5</v>
      </c>
      <c r="S18" s="409"/>
      <c r="T18" s="407"/>
      <c r="U18" s="407"/>
      <c r="V18" s="407"/>
      <c r="W18" s="407"/>
      <c r="X18" s="407"/>
      <c r="Y18" s="408"/>
    </row>
    <row r="19" spans="2:25" ht="17.25">
      <c r="B19" s="211">
        <v>14</v>
      </c>
      <c r="C19" s="233">
        <f>'성장 곡선'!C19*60</f>
        <v>7927.677946370176</v>
      </c>
      <c r="D19" s="234">
        <v>10</v>
      </c>
      <c r="E19" s="266">
        <f t="shared" si="0"/>
        <v>696</v>
      </c>
      <c r="F19" s="267">
        <f t="shared" si="4"/>
        <v>793</v>
      </c>
      <c r="G19" s="268">
        <f t="shared" si="1"/>
        <v>551928</v>
      </c>
      <c r="H19" s="267">
        <f t="shared" si="2"/>
        <v>275964</v>
      </c>
      <c r="I19" s="266">
        <f t="shared" si="3"/>
        <v>827892</v>
      </c>
      <c r="S19" s="249"/>
      <c r="T19" s="250"/>
      <c r="U19" s="250"/>
      <c r="V19" s="250"/>
      <c r="W19" s="250"/>
      <c r="X19" s="250"/>
      <c r="Y19" s="251"/>
    </row>
    <row r="20" spans="2:25" ht="17.25">
      <c r="B20" s="211">
        <v>15</v>
      </c>
      <c r="C20" s="233">
        <f>'성장 곡선'!C20*60</f>
        <v>9005.3206812290864</v>
      </c>
      <c r="D20" s="234">
        <v>10</v>
      </c>
      <c r="E20" s="266">
        <f t="shared" si="0"/>
        <v>725</v>
      </c>
      <c r="F20" s="267">
        <f t="shared" si="4"/>
        <v>901</v>
      </c>
      <c r="G20" s="268">
        <f t="shared" si="1"/>
        <v>653225</v>
      </c>
      <c r="H20" s="267">
        <f t="shared" si="2"/>
        <v>326613</v>
      </c>
      <c r="I20" s="266">
        <f t="shared" si="3"/>
        <v>979837.5</v>
      </c>
      <c r="S20" s="409" t="s">
        <v>117</v>
      </c>
      <c r="T20" s="407"/>
      <c r="U20" s="407"/>
      <c r="V20" s="407"/>
      <c r="W20" s="407"/>
      <c r="X20" s="407"/>
      <c r="Y20" s="408"/>
    </row>
    <row r="21" spans="2:25" ht="17.25">
      <c r="B21" s="211">
        <v>16</v>
      </c>
      <c r="C21" s="233">
        <f>'성장 곡선'!C21*60</f>
        <v>10145.820754735825</v>
      </c>
      <c r="D21" s="234">
        <v>10</v>
      </c>
      <c r="E21" s="266">
        <f t="shared" si="0"/>
        <v>756</v>
      </c>
      <c r="F21" s="267">
        <f t="shared" si="4"/>
        <v>1015</v>
      </c>
      <c r="G21" s="268">
        <f t="shared" si="1"/>
        <v>767340</v>
      </c>
      <c r="H21" s="267">
        <f t="shared" si="2"/>
        <v>383670</v>
      </c>
      <c r="I21" s="266">
        <f t="shared" si="3"/>
        <v>1151010</v>
      </c>
      <c r="S21" s="249"/>
      <c r="T21" s="250"/>
      <c r="U21" s="250"/>
      <c r="V21" s="250"/>
      <c r="W21" s="250"/>
      <c r="X21" s="250"/>
      <c r="Y21" s="251"/>
    </row>
    <row r="22" spans="2:25" ht="17.25">
      <c r="B22" s="211">
        <v>17</v>
      </c>
      <c r="C22" s="233">
        <f>'성장 곡선'!C22*60</f>
        <v>11348.572112379281</v>
      </c>
      <c r="D22" s="234">
        <v>10</v>
      </c>
      <c r="E22" s="266">
        <f t="shared" si="0"/>
        <v>789</v>
      </c>
      <c r="F22" s="267">
        <f t="shared" si="4"/>
        <v>1135</v>
      </c>
      <c r="G22" s="268">
        <f t="shared" si="1"/>
        <v>895515</v>
      </c>
      <c r="H22" s="267">
        <f t="shared" si="2"/>
        <v>447758</v>
      </c>
      <c r="I22" s="266">
        <f t="shared" si="3"/>
        <v>1343272.5</v>
      </c>
      <c r="S22" s="409" t="s">
        <v>118</v>
      </c>
      <c r="T22" s="407"/>
      <c r="U22" s="407"/>
      <c r="V22" s="407"/>
      <c r="W22" s="407"/>
      <c r="X22" s="407"/>
      <c r="Y22" s="408"/>
    </row>
    <row r="23" spans="2:25" ht="17.25">
      <c r="B23" s="211">
        <v>18</v>
      </c>
      <c r="C23" s="233">
        <f>'성장 곡선'!C23*60</f>
        <v>12613.010830064048</v>
      </c>
      <c r="D23" s="234">
        <v>10</v>
      </c>
      <c r="E23" s="266">
        <f t="shared" si="0"/>
        <v>824</v>
      </c>
      <c r="F23" s="267">
        <f t="shared" si="4"/>
        <v>1261</v>
      </c>
      <c r="G23" s="268">
        <f t="shared" si="1"/>
        <v>1039064</v>
      </c>
      <c r="H23" s="267">
        <f t="shared" si="2"/>
        <v>519532</v>
      </c>
      <c r="I23" s="266">
        <f t="shared" si="3"/>
        <v>1558596</v>
      </c>
      <c r="S23" s="249"/>
      <c r="T23" s="250"/>
      <c r="U23" s="250"/>
      <c r="V23" s="250"/>
      <c r="W23" s="250"/>
      <c r="X23" s="250"/>
      <c r="Y23" s="251"/>
    </row>
    <row r="24" spans="2:25" ht="16.5" customHeight="1">
      <c r="B24" s="211">
        <v>19</v>
      </c>
      <c r="C24" s="233">
        <f>'성장 곡선'!C24*60</f>
        <v>13938.609946777366</v>
      </c>
      <c r="D24" s="234">
        <v>10</v>
      </c>
      <c r="E24" s="266">
        <f t="shared" si="0"/>
        <v>861</v>
      </c>
      <c r="F24" s="267">
        <f t="shared" si="4"/>
        <v>1394</v>
      </c>
      <c r="G24" s="268">
        <f t="shared" si="1"/>
        <v>1200234</v>
      </c>
      <c r="H24" s="267">
        <f t="shared" si="2"/>
        <v>600117</v>
      </c>
      <c r="I24" s="266">
        <f t="shared" si="3"/>
        <v>1800351</v>
      </c>
      <c r="S24" s="406" t="s">
        <v>119</v>
      </c>
      <c r="T24" s="419"/>
      <c r="U24" s="419"/>
      <c r="V24" s="419"/>
      <c r="W24" s="419"/>
      <c r="X24" s="419"/>
      <c r="Y24" s="420"/>
    </row>
    <row r="25" spans="2:25">
      <c r="B25" s="216">
        <v>20</v>
      </c>
      <c r="C25" s="224">
        <f>'성장 곡선'!C25*60</f>
        <v>15324.87517631019</v>
      </c>
      <c r="D25" s="238">
        <v>10</v>
      </c>
      <c r="E25" s="269">
        <f t="shared" si="0"/>
        <v>900</v>
      </c>
      <c r="F25" s="270">
        <f t="shared" si="4"/>
        <v>1532</v>
      </c>
      <c r="G25" s="269">
        <f t="shared" si="1"/>
        <v>1378800</v>
      </c>
      <c r="H25" s="270">
        <f t="shared" si="2"/>
        <v>689400</v>
      </c>
      <c r="I25" s="269">
        <f t="shared" si="3"/>
        <v>2068200</v>
      </c>
      <c r="S25" s="406"/>
      <c r="T25" s="419"/>
      <c r="U25" s="419"/>
      <c r="V25" s="419"/>
      <c r="W25" s="419"/>
      <c r="X25" s="419"/>
      <c r="Y25" s="420"/>
    </row>
    <row r="26" spans="2:25" ht="17.25" thickBot="1">
      <c r="B26" s="211">
        <v>21</v>
      </c>
      <c r="C26" s="233">
        <f>'성장 곡선'!C26*60</f>
        <v>16771.341310994252</v>
      </c>
      <c r="D26" s="234">
        <v>10</v>
      </c>
      <c r="E26" s="266">
        <f t="shared" si="0"/>
        <v>941</v>
      </c>
      <c r="F26" s="267">
        <f t="shared" si="4"/>
        <v>1677</v>
      </c>
      <c r="G26" s="268">
        <f t="shared" si="1"/>
        <v>1578057</v>
      </c>
      <c r="H26" s="267">
        <f t="shared" si="2"/>
        <v>789029</v>
      </c>
      <c r="I26" s="266">
        <f t="shared" si="3"/>
        <v>2367085.5</v>
      </c>
      <c r="S26" s="252"/>
      <c r="T26" s="253"/>
      <c r="U26" s="253"/>
      <c r="V26" s="253"/>
      <c r="W26" s="253"/>
      <c r="X26" s="253"/>
      <c r="Y26" s="254"/>
    </row>
    <row r="27" spans="2:25">
      <c r="B27" s="211">
        <v>22</v>
      </c>
      <c r="C27" s="233">
        <f>'성장 곡선'!C27*60</f>
        <v>18277.569177421065</v>
      </c>
      <c r="D27" s="234">
        <v>10</v>
      </c>
      <c r="E27" s="266">
        <f t="shared" si="0"/>
        <v>984</v>
      </c>
      <c r="F27" s="267">
        <f t="shared" si="4"/>
        <v>1828</v>
      </c>
      <c r="G27" s="268">
        <f t="shared" si="1"/>
        <v>1798752</v>
      </c>
      <c r="H27" s="267">
        <f t="shared" si="2"/>
        <v>899376</v>
      </c>
      <c r="I27" s="266">
        <f t="shared" si="3"/>
        <v>2698128</v>
      </c>
    </row>
    <row r="28" spans="2:25">
      <c r="B28" s="211">
        <v>23</v>
      </c>
      <c r="C28" s="233">
        <f>'성장 곡선'!C28*60</f>
        <v>19843.143037655733</v>
      </c>
      <c r="D28" s="234">
        <v>10</v>
      </c>
      <c r="E28" s="266">
        <f t="shared" si="0"/>
        <v>1029</v>
      </c>
      <c r="F28" s="267">
        <f t="shared" si="4"/>
        <v>1984</v>
      </c>
      <c r="G28" s="268">
        <f t="shared" si="1"/>
        <v>2041536</v>
      </c>
      <c r="H28" s="267">
        <f t="shared" si="2"/>
        <v>1020768</v>
      </c>
      <c r="I28" s="266">
        <f t="shared" si="3"/>
        <v>3062304</v>
      </c>
    </row>
    <row r="29" spans="2:25">
      <c r="B29" s="211">
        <v>24</v>
      </c>
      <c r="C29" s="233">
        <f>'성장 곡선'!C29*60</f>
        <v>21467.668353831341</v>
      </c>
      <c r="D29" s="234">
        <v>10</v>
      </c>
      <c r="E29" s="266">
        <f t="shared" si="0"/>
        <v>1076</v>
      </c>
      <c r="F29" s="267">
        <f t="shared" si="4"/>
        <v>2147</v>
      </c>
      <c r="G29" s="268">
        <f t="shared" si="1"/>
        <v>2310172</v>
      </c>
      <c r="H29" s="267">
        <f t="shared" si="2"/>
        <v>1155086</v>
      </c>
      <c r="I29" s="266">
        <f t="shared" si="3"/>
        <v>3465258</v>
      </c>
    </row>
    <row r="30" spans="2:25">
      <c r="B30" s="211">
        <v>25</v>
      </c>
      <c r="C30" s="233">
        <f>'성장 곡선'!C30*60</f>
        <v>23150.769852000358</v>
      </c>
      <c r="D30" s="234">
        <v>10</v>
      </c>
      <c r="E30" s="266">
        <f t="shared" si="0"/>
        <v>1125</v>
      </c>
      <c r="F30" s="267">
        <f t="shared" si="4"/>
        <v>2315</v>
      </c>
      <c r="G30" s="268">
        <f t="shared" si="1"/>
        <v>2604375</v>
      </c>
      <c r="H30" s="267">
        <f t="shared" si="2"/>
        <v>1302188</v>
      </c>
      <c r="I30" s="266">
        <f t="shared" si="3"/>
        <v>3906562.5</v>
      </c>
    </row>
    <row r="31" spans="2:25">
      <c r="B31" s="211">
        <v>26</v>
      </c>
      <c r="C31" s="233">
        <f>'성장 곡선'!C31*60</f>
        <v>24892.089834595314</v>
      </c>
      <c r="D31" s="234">
        <v>10</v>
      </c>
      <c r="E31" s="266">
        <f t="shared" si="0"/>
        <v>1176</v>
      </c>
      <c r="F31" s="267">
        <f t="shared" si="4"/>
        <v>2489</v>
      </c>
      <c r="G31" s="268">
        <f t="shared" si="1"/>
        <v>2927064</v>
      </c>
      <c r="H31" s="267">
        <f t="shared" si="2"/>
        <v>1463532</v>
      </c>
      <c r="I31" s="266">
        <f t="shared" si="3"/>
        <v>4390596</v>
      </c>
    </row>
    <row r="32" spans="2:25">
      <c r="B32" s="211">
        <v>27</v>
      </c>
      <c r="C32" s="233">
        <f>'성장 곡선'!C32*60</f>
        <v>26691.286701073976</v>
      </c>
      <c r="D32" s="234">
        <v>10</v>
      </c>
      <c r="E32" s="266">
        <f t="shared" si="0"/>
        <v>1229</v>
      </c>
      <c r="F32" s="267">
        <f t="shared" si="4"/>
        <v>2669</v>
      </c>
      <c r="G32" s="268">
        <f t="shared" si="1"/>
        <v>3280201</v>
      </c>
      <c r="H32" s="267">
        <f t="shared" si="2"/>
        <v>1640101</v>
      </c>
      <c r="I32" s="266">
        <f t="shared" si="3"/>
        <v>4920301.5</v>
      </c>
    </row>
    <row r="33" spans="2:9">
      <c r="B33" s="211">
        <v>28</v>
      </c>
      <c r="C33" s="233">
        <f>'성장 곡선'!C33*60</f>
        <v>28548.033644177864</v>
      </c>
      <c r="D33" s="234">
        <v>10</v>
      </c>
      <c r="E33" s="266">
        <f t="shared" si="0"/>
        <v>1284</v>
      </c>
      <c r="F33" s="267">
        <f t="shared" si="4"/>
        <v>2855</v>
      </c>
      <c r="G33" s="268">
        <f t="shared" si="1"/>
        <v>3665820</v>
      </c>
      <c r="H33" s="267">
        <f t="shared" si="2"/>
        <v>1832910</v>
      </c>
      <c r="I33" s="266">
        <f t="shared" si="3"/>
        <v>5498730</v>
      </c>
    </row>
    <row r="34" spans="2:9">
      <c r="B34" s="211">
        <v>29</v>
      </c>
      <c r="C34" s="233">
        <f>'성장 곡선'!C34*60</f>
        <v>30462.017495327636</v>
      </c>
      <c r="D34" s="234">
        <v>10</v>
      </c>
      <c r="E34" s="266">
        <f t="shared" si="0"/>
        <v>1341</v>
      </c>
      <c r="F34" s="267">
        <f t="shared" si="4"/>
        <v>3046</v>
      </c>
      <c r="G34" s="268">
        <f t="shared" si="1"/>
        <v>4084686</v>
      </c>
      <c r="H34" s="267">
        <f t="shared" si="2"/>
        <v>2042343</v>
      </c>
      <c r="I34" s="266">
        <f t="shared" si="3"/>
        <v>6127029</v>
      </c>
    </row>
    <row r="35" spans="2:9">
      <c r="B35" s="216">
        <v>30</v>
      </c>
      <c r="C35" s="224">
        <f>'성장 곡선'!C35*60</f>
        <v>32432.937697461068</v>
      </c>
      <c r="D35" s="238">
        <v>10</v>
      </c>
      <c r="E35" s="269">
        <f t="shared" si="0"/>
        <v>1400</v>
      </c>
      <c r="F35" s="270">
        <f t="shared" si="4"/>
        <v>3243</v>
      </c>
      <c r="G35" s="269">
        <f t="shared" si="1"/>
        <v>4540200</v>
      </c>
      <c r="H35" s="270">
        <f t="shared" si="2"/>
        <v>2270100</v>
      </c>
      <c r="I35" s="269">
        <f t="shared" si="3"/>
        <v>6810300</v>
      </c>
    </row>
    <row r="36" spans="2:9">
      <c r="B36" s="211">
        <v>31</v>
      </c>
      <c r="C36" s="233">
        <f>'성장 곡선'!C36*60</f>
        <v>34460.505387403609</v>
      </c>
      <c r="D36" s="234">
        <v>10</v>
      </c>
      <c r="E36" s="266">
        <f t="shared" si="0"/>
        <v>1461</v>
      </c>
      <c r="F36" s="267">
        <f t="shared" si="4"/>
        <v>3446</v>
      </c>
      <c r="G36" s="268">
        <f t="shared" si="1"/>
        <v>5034606</v>
      </c>
      <c r="H36" s="267">
        <f t="shared" si="2"/>
        <v>2517303</v>
      </c>
      <c r="I36" s="266">
        <f t="shared" si="3"/>
        <v>7551909</v>
      </c>
    </row>
    <row r="37" spans="2:9">
      <c r="B37" s="211">
        <v>32</v>
      </c>
      <c r="C37" s="233">
        <f>'성장 곡선'!C37*60</f>
        <v>36544.442572883607</v>
      </c>
      <c r="D37" s="234">
        <v>10</v>
      </c>
      <c r="E37" s="266">
        <f t="shared" si="0"/>
        <v>1524</v>
      </c>
      <c r="F37" s="267">
        <f t="shared" si="4"/>
        <v>3654</v>
      </c>
      <c r="G37" s="268">
        <f t="shared" si="1"/>
        <v>5568696</v>
      </c>
      <c r="H37" s="267">
        <f t="shared" si="2"/>
        <v>2784348</v>
      </c>
      <c r="I37" s="266">
        <f t="shared" si="3"/>
        <v>8353044</v>
      </c>
    </row>
    <row r="38" spans="2:9">
      <c r="B38" s="211">
        <v>33</v>
      </c>
      <c r="C38" s="233">
        <f>'성장 곡선'!C38*60</f>
        <v>38684.48139173603</v>
      </c>
      <c r="D38" s="234">
        <v>10</v>
      </c>
      <c r="E38" s="266">
        <f t="shared" si="0"/>
        <v>1589</v>
      </c>
      <c r="F38" s="267">
        <f t="shared" si="4"/>
        <v>3868</v>
      </c>
      <c r="G38" s="268">
        <f t="shared" si="1"/>
        <v>6146252</v>
      </c>
      <c r="H38" s="267">
        <f t="shared" si="2"/>
        <v>3073126</v>
      </c>
      <c r="I38" s="266">
        <f t="shared" si="3"/>
        <v>9219378</v>
      </c>
    </row>
    <row r="39" spans="2:9">
      <c r="B39" s="211">
        <v>34</v>
      </c>
      <c r="C39" s="233">
        <f>'성장 곡선'!C39*60</f>
        <v>40880.363442811482</v>
      </c>
      <c r="D39" s="234">
        <v>10</v>
      </c>
      <c r="E39" s="266">
        <f t="shared" si="0"/>
        <v>1656</v>
      </c>
      <c r="F39" s="267">
        <f t="shared" si="4"/>
        <v>4088</v>
      </c>
      <c r="G39" s="268">
        <f t="shared" si="1"/>
        <v>6769728</v>
      </c>
      <c r="H39" s="267">
        <f t="shared" si="2"/>
        <v>3384864</v>
      </c>
      <c r="I39" s="266">
        <f t="shared" si="3"/>
        <v>10154592</v>
      </c>
    </row>
    <row r="40" spans="2:9">
      <c r="B40" s="211">
        <v>35</v>
      </c>
      <c r="C40" s="233">
        <f>'성장 곡선'!C40*60</f>
        <v>43131.839179716648</v>
      </c>
      <c r="D40" s="234">
        <v>10</v>
      </c>
      <c r="E40" s="266">
        <f t="shared" si="0"/>
        <v>1725</v>
      </c>
      <c r="F40" s="267">
        <f t="shared" si="4"/>
        <v>4313</v>
      </c>
      <c r="G40" s="268">
        <f t="shared" si="1"/>
        <v>7439925</v>
      </c>
      <c r="H40" s="267">
        <f t="shared" si="2"/>
        <v>3719963</v>
      </c>
      <c r="I40" s="266">
        <f t="shared" si="3"/>
        <v>11159887.5</v>
      </c>
    </row>
    <row r="41" spans="2:9">
      <c r="B41" s="211">
        <v>36</v>
      </c>
      <c r="C41" s="233">
        <f>'성장 곡선'!C41*60</f>
        <v>45438.667359837214</v>
      </c>
      <c r="D41" s="234">
        <v>10</v>
      </c>
      <c r="E41" s="266">
        <f t="shared" si="0"/>
        <v>1796</v>
      </c>
      <c r="F41" s="267">
        <f t="shared" si="4"/>
        <v>4544</v>
      </c>
      <c r="G41" s="268">
        <f t="shared" si="1"/>
        <v>8161024</v>
      </c>
      <c r="H41" s="267">
        <f t="shared" si="2"/>
        <v>4080512</v>
      </c>
      <c r="I41" s="266">
        <f t="shared" si="3"/>
        <v>12241536</v>
      </c>
    </row>
    <row r="42" spans="2:9">
      <c r="B42" s="211">
        <v>37</v>
      </c>
      <c r="C42" s="233">
        <f>'성장 곡선'!C42*60</f>
        <v>47800.614542186391</v>
      </c>
      <c r="D42" s="234">
        <v>10</v>
      </c>
      <c r="E42" s="266">
        <f t="shared" si="0"/>
        <v>1869</v>
      </c>
      <c r="F42" s="267">
        <f t="shared" si="4"/>
        <v>4780</v>
      </c>
      <c r="G42" s="268">
        <f t="shared" si="1"/>
        <v>8933820</v>
      </c>
      <c r="H42" s="267">
        <f t="shared" si="2"/>
        <v>4466910</v>
      </c>
      <c r="I42" s="266">
        <f t="shared" si="3"/>
        <v>13400730</v>
      </c>
    </row>
    <row r="43" spans="2:9">
      <c r="B43" s="211">
        <v>38</v>
      </c>
      <c r="C43" s="233">
        <f>'성장 곡선'!C43*60</f>
        <v>50217.454628534804</v>
      </c>
      <c r="D43" s="234">
        <v>10</v>
      </c>
      <c r="E43" s="266">
        <f t="shared" si="0"/>
        <v>1944</v>
      </c>
      <c r="F43" s="267">
        <f t="shared" si="4"/>
        <v>5022</v>
      </c>
      <c r="G43" s="268">
        <f t="shared" si="1"/>
        <v>9762768</v>
      </c>
      <c r="H43" s="267">
        <f t="shared" si="2"/>
        <v>4881384</v>
      </c>
      <c r="I43" s="266">
        <f t="shared" si="3"/>
        <v>14644152</v>
      </c>
    </row>
    <row r="44" spans="2:9">
      <c r="B44" s="211">
        <v>39</v>
      </c>
      <c r="C44" s="233">
        <f>'성장 곡선'!C44*60</f>
        <v>52688.968443036472</v>
      </c>
      <c r="D44" s="234">
        <v>10</v>
      </c>
      <c r="E44" s="266">
        <f t="shared" si="0"/>
        <v>2021</v>
      </c>
      <c r="F44" s="267">
        <f t="shared" si="4"/>
        <v>5269</v>
      </c>
      <c r="G44" s="268">
        <f t="shared" si="1"/>
        <v>10648649</v>
      </c>
      <c r="H44" s="267">
        <f t="shared" si="2"/>
        <v>5324325</v>
      </c>
      <c r="I44" s="266">
        <f t="shared" si="3"/>
        <v>15972973.5</v>
      </c>
    </row>
    <row r="45" spans="2:9">
      <c r="B45" s="216">
        <v>40</v>
      </c>
      <c r="C45" s="224">
        <f>'성장 곡선'!C45*60</f>
        <v>55214.943346205866</v>
      </c>
      <c r="D45" s="238">
        <v>10</v>
      </c>
      <c r="E45" s="269">
        <f t="shared" si="0"/>
        <v>2100</v>
      </c>
      <c r="F45" s="270">
        <f t="shared" si="4"/>
        <v>5521</v>
      </c>
      <c r="G45" s="269">
        <f t="shared" si="1"/>
        <v>11594100</v>
      </c>
      <c r="H45" s="270">
        <f t="shared" si="2"/>
        <v>5797050</v>
      </c>
      <c r="I45" s="269">
        <f t="shared" si="3"/>
        <v>17391150</v>
      </c>
    </row>
    <row r="46" spans="2:9">
      <c r="B46" s="211">
        <v>41</v>
      </c>
      <c r="C46" s="233">
        <f>'성장 곡선'!C46*60</f>
        <v>57795.17287964109</v>
      </c>
      <c r="D46" s="234">
        <v>10</v>
      </c>
      <c r="E46" s="266">
        <f t="shared" si="0"/>
        <v>2181</v>
      </c>
      <c r="F46" s="267">
        <f t="shared" si="4"/>
        <v>5780</v>
      </c>
      <c r="G46" s="268">
        <f t="shared" si="1"/>
        <v>12606180</v>
      </c>
      <c r="H46" s="267">
        <f t="shared" si="2"/>
        <v>6303090</v>
      </c>
      <c r="I46" s="266">
        <f t="shared" si="3"/>
        <v>18909270</v>
      </c>
    </row>
    <row r="47" spans="2:9">
      <c r="B47" s="211">
        <v>42</v>
      </c>
      <c r="C47" s="233">
        <f>'성장 곡선'!C47*60</f>
        <v>60429.456438345514</v>
      </c>
      <c r="D47" s="234">
        <v>10</v>
      </c>
      <c r="E47" s="266">
        <f t="shared" si="0"/>
        <v>2264</v>
      </c>
      <c r="F47" s="267">
        <f t="shared" si="4"/>
        <v>6043</v>
      </c>
      <c r="G47" s="268">
        <f t="shared" si="1"/>
        <v>13681352</v>
      </c>
      <c r="H47" s="267">
        <f t="shared" si="2"/>
        <v>6840676</v>
      </c>
      <c r="I47" s="266">
        <f t="shared" si="3"/>
        <v>20522028</v>
      </c>
    </row>
    <row r="48" spans="2:9">
      <c r="B48" s="211">
        <v>43</v>
      </c>
      <c r="C48" s="233">
        <f>'성장 곡선'!C48*60</f>
        <v>63117.598967891623</v>
      </c>
      <c r="D48" s="234">
        <v>10</v>
      </c>
      <c r="E48" s="266">
        <f t="shared" si="0"/>
        <v>2349</v>
      </c>
      <c r="F48" s="267">
        <f t="shared" si="4"/>
        <v>6312</v>
      </c>
      <c r="G48" s="268">
        <f t="shared" si="1"/>
        <v>14826888</v>
      </c>
      <c r="H48" s="267">
        <f t="shared" si="2"/>
        <v>7413444</v>
      </c>
      <c r="I48" s="266">
        <f t="shared" si="3"/>
        <v>22240332</v>
      </c>
    </row>
    <row r="49" spans="2:9">
      <c r="B49" s="211">
        <v>44</v>
      </c>
      <c r="C49" s="233">
        <f>'성장 곡선'!C49*60</f>
        <v>65859.410684003349</v>
      </c>
      <c r="D49" s="234">
        <v>10</v>
      </c>
      <c r="E49" s="266">
        <f t="shared" si="0"/>
        <v>2436</v>
      </c>
      <c r="F49" s="267">
        <f t="shared" si="4"/>
        <v>6586</v>
      </c>
      <c r="G49" s="268">
        <f t="shared" si="1"/>
        <v>16043496</v>
      </c>
      <c r="H49" s="267">
        <f t="shared" si="2"/>
        <v>8021748</v>
      </c>
      <c r="I49" s="266">
        <f t="shared" si="3"/>
        <v>24065244</v>
      </c>
    </row>
    <row r="50" spans="2:9">
      <c r="B50" s="211">
        <v>45</v>
      </c>
      <c r="C50" s="233">
        <f>'성장 곡선'!C50*60</f>
        <v>68654.706812420351</v>
      </c>
      <c r="D50" s="234">
        <v>10</v>
      </c>
      <c r="E50" s="266">
        <f t="shared" si="0"/>
        <v>2525</v>
      </c>
      <c r="F50" s="267">
        <f t="shared" si="4"/>
        <v>6865</v>
      </c>
      <c r="G50" s="268">
        <f t="shared" si="1"/>
        <v>17334125</v>
      </c>
      <c r="H50" s="267">
        <f t="shared" si="2"/>
        <v>8667063</v>
      </c>
      <c r="I50" s="266">
        <f t="shared" si="3"/>
        <v>26001187.5</v>
      </c>
    </row>
    <row r="51" spans="2:9">
      <c r="B51" s="211">
        <v>46</v>
      </c>
      <c r="C51" s="233">
        <f>'성장 곡선'!C51*60</f>
        <v>71503.307347155089</v>
      </c>
      <c r="D51" s="234">
        <v>10</v>
      </c>
      <c r="E51" s="266">
        <f t="shared" si="0"/>
        <v>2616</v>
      </c>
      <c r="F51" s="267">
        <f t="shared" si="4"/>
        <v>7150</v>
      </c>
      <c r="G51" s="268">
        <f t="shared" si="1"/>
        <v>18704400</v>
      </c>
      <c r="H51" s="267">
        <f t="shared" si="2"/>
        <v>9352200</v>
      </c>
      <c r="I51" s="266">
        <f t="shared" si="3"/>
        <v>28056600</v>
      </c>
    </row>
    <row r="52" spans="2:9">
      <c r="B52" s="211">
        <v>47</v>
      </c>
      <c r="C52" s="233">
        <f>'성장 곡선'!C52*60</f>
        <v>74405.036825466465</v>
      </c>
      <c r="D52" s="234">
        <v>10</v>
      </c>
      <c r="E52" s="266">
        <f t="shared" si="0"/>
        <v>2709</v>
      </c>
      <c r="F52" s="267">
        <f t="shared" si="4"/>
        <v>7441</v>
      </c>
      <c r="G52" s="268">
        <f t="shared" si="1"/>
        <v>20157669</v>
      </c>
      <c r="H52" s="267">
        <f t="shared" si="2"/>
        <v>10078835</v>
      </c>
      <c r="I52" s="266">
        <f t="shared" si="3"/>
        <v>30236503.5</v>
      </c>
    </row>
    <row r="53" spans="2:9">
      <c r="B53" s="211">
        <v>48</v>
      </c>
      <c r="C53" s="233">
        <f>'성장 곡선'!C53*60</f>
        <v>77359.72411806017</v>
      </c>
      <c r="D53" s="234">
        <v>10</v>
      </c>
      <c r="E53" s="266">
        <f t="shared" si="0"/>
        <v>2804</v>
      </c>
      <c r="F53" s="267">
        <f t="shared" si="4"/>
        <v>7736</v>
      </c>
      <c r="G53" s="268">
        <f t="shared" si="1"/>
        <v>21691744</v>
      </c>
      <c r="H53" s="267">
        <f t="shared" si="2"/>
        <v>10845872</v>
      </c>
      <c r="I53" s="266">
        <f t="shared" si="3"/>
        <v>32537616</v>
      </c>
    </row>
    <row r="54" spans="2:9">
      <c r="B54" s="211">
        <v>49</v>
      </c>
      <c r="C54" s="233">
        <f>'성장 곡선'!C54*60</f>
        <v>80367.202233185613</v>
      </c>
      <c r="D54" s="234">
        <v>10</v>
      </c>
      <c r="E54" s="266">
        <f t="shared" si="0"/>
        <v>2901</v>
      </c>
      <c r="F54" s="267">
        <f t="shared" si="4"/>
        <v>8037</v>
      </c>
      <c r="G54" s="268">
        <f t="shared" si="1"/>
        <v>23315337</v>
      </c>
      <c r="H54" s="267">
        <f t="shared" si="2"/>
        <v>11657669</v>
      </c>
      <c r="I54" s="266">
        <f t="shared" si="3"/>
        <v>34973005.5</v>
      </c>
    </row>
    <row r="55" spans="2:9">
      <c r="B55" s="216">
        <v>50</v>
      </c>
      <c r="C55" s="224">
        <f>'성장 곡선'!C55*60</f>
        <v>83427.308133443468</v>
      </c>
      <c r="D55" s="238">
        <v>10</v>
      </c>
      <c r="E55" s="269">
        <f t="shared" si="0"/>
        <v>3000</v>
      </c>
      <c r="F55" s="270">
        <f t="shared" si="4"/>
        <v>8343</v>
      </c>
      <c r="G55" s="269">
        <f t="shared" si="1"/>
        <v>25029000</v>
      </c>
      <c r="H55" s="270">
        <f t="shared" si="2"/>
        <v>12514500</v>
      </c>
      <c r="I55" s="269">
        <f t="shared" si="3"/>
        <v>37543500</v>
      </c>
    </row>
    <row r="56" spans="2:9">
      <c r="B56" s="211">
        <v>51</v>
      </c>
      <c r="C56" s="233">
        <f>'성장 곡선'!C56*60</f>
        <v>86539.88256423673</v>
      </c>
      <c r="D56" s="234">
        <v>10</v>
      </c>
      <c r="E56" s="266">
        <f t="shared" si="0"/>
        <v>3101</v>
      </c>
      <c r="F56" s="267">
        <f t="shared" si="4"/>
        <v>8654</v>
      </c>
      <c r="G56" s="268">
        <f t="shared" si="1"/>
        <v>26836054</v>
      </c>
      <c r="H56" s="267">
        <f t="shared" si="2"/>
        <v>13418027</v>
      </c>
      <c r="I56" s="266">
        <f t="shared" si="3"/>
        <v>40254081</v>
      </c>
    </row>
    <row r="57" spans="2:9">
      <c r="B57" s="211">
        <v>52</v>
      </c>
      <c r="C57" s="233">
        <f>'성장 곡선'!C57*60</f>
        <v>89704.769892912227</v>
      </c>
      <c r="D57" s="234">
        <v>10</v>
      </c>
      <c r="E57" s="266">
        <f t="shared" si="0"/>
        <v>3204</v>
      </c>
      <c r="F57" s="267">
        <f t="shared" si="4"/>
        <v>8970</v>
      </c>
      <c r="G57" s="268">
        <f t="shared" si="1"/>
        <v>28739880</v>
      </c>
      <c r="H57" s="267">
        <f t="shared" si="2"/>
        <v>14369940</v>
      </c>
      <c r="I57" s="266">
        <f t="shared" si="3"/>
        <v>43109820</v>
      </c>
    </row>
    <row r="58" spans="2:9">
      <c r="B58" s="211">
        <v>53</v>
      </c>
      <c r="C58" s="233">
        <f>'성장 곡선'!C58*60</f>
        <v>92921.817957728796</v>
      </c>
      <c r="D58" s="234">
        <v>10</v>
      </c>
      <c r="E58" s="266">
        <f t="shared" si="0"/>
        <v>3309</v>
      </c>
      <c r="F58" s="267">
        <f t="shared" si="4"/>
        <v>9292</v>
      </c>
      <c r="G58" s="268">
        <f t="shared" si="1"/>
        <v>30747228</v>
      </c>
      <c r="H58" s="267">
        <f t="shared" si="2"/>
        <v>15373614</v>
      </c>
      <c r="I58" s="266">
        <f t="shared" si="3"/>
        <v>46120842</v>
      </c>
    </row>
    <row r="59" spans="2:9">
      <c r="B59" s="211">
        <v>54</v>
      </c>
      <c r="C59" s="233">
        <f>'성장 곡선'!C59*60</f>
        <v>96190.877925879642</v>
      </c>
      <c r="D59" s="234">
        <v>10</v>
      </c>
      <c r="E59" s="266">
        <f t="shared" si="0"/>
        <v>3416</v>
      </c>
      <c r="F59" s="267">
        <f t="shared" si="4"/>
        <v>9619</v>
      </c>
      <c r="G59" s="268">
        <f t="shared" si="1"/>
        <v>32858504</v>
      </c>
      <c r="H59" s="267">
        <f t="shared" si="2"/>
        <v>16429252</v>
      </c>
      <c r="I59" s="266">
        <f t="shared" si="3"/>
        <v>49287756</v>
      </c>
    </row>
    <row r="60" spans="2:9">
      <c r="B60" s="211">
        <v>55</v>
      </c>
      <c r="C60" s="233">
        <f>'성장 곡선'!C60*60</f>
        <v>99511.804159863837</v>
      </c>
      <c r="D60" s="234">
        <v>10</v>
      </c>
      <c r="E60" s="266">
        <f t="shared" si="0"/>
        <v>3525</v>
      </c>
      <c r="F60" s="267">
        <f t="shared" si="4"/>
        <v>9951</v>
      </c>
      <c r="G60" s="268">
        <f t="shared" si="1"/>
        <v>35077275</v>
      </c>
      <c r="H60" s="267">
        <f t="shared" si="2"/>
        <v>17538638</v>
      </c>
      <c r="I60" s="266">
        <f t="shared" si="3"/>
        <v>52615912.5</v>
      </c>
    </row>
    <row r="61" spans="2:9">
      <c r="B61" s="211">
        <v>56</v>
      </c>
      <c r="C61" s="233">
        <f>'성장 곡선'!C61*60</f>
        <v>102884.45409157421</v>
      </c>
      <c r="D61" s="234">
        <v>10</v>
      </c>
      <c r="E61" s="266">
        <f t="shared" si="0"/>
        <v>3636</v>
      </c>
      <c r="F61" s="267">
        <f t="shared" si="4"/>
        <v>10288</v>
      </c>
      <c r="G61" s="268">
        <f t="shared" si="1"/>
        <v>37407168</v>
      </c>
      <c r="H61" s="267">
        <f t="shared" si="2"/>
        <v>18703584</v>
      </c>
      <c r="I61" s="266">
        <f t="shared" si="3"/>
        <v>56110752</v>
      </c>
    </row>
    <row r="62" spans="2:9">
      <c r="B62" s="211">
        <v>57</v>
      </c>
      <c r="C62" s="233">
        <f>'성장 곡선'!C62*60</f>
        <v>106308.68810352361</v>
      </c>
      <c r="D62" s="234">
        <v>10</v>
      </c>
      <c r="E62" s="266">
        <f t="shared" si="0"/>
        <v>3749</v>
      </c>
      <c r="F62" s="267">
        <f t="shared" si="4"/>
        <v>10631</v>
      </c>
      <c r="G62" s="268">
        <f t="shared" si="1"/>
        <v>39855619</v>
      </c>
      <c r="H62" s="267">
        <f t="shared" si="2"/>
        <v>19927810</v>
      </c>
      <c r="I62" s="266">
        <f t="shared" si="3"/>
        <v>59783428.5</v>
      </c>
    </row>
    <row r="63" spans="2:9">
      <c r="B63" s="211">
        <v>58</v>
      </c>
      <c r="C63" s="233">
        <f>'성장 곡선'!C63*60</f>
        <v>109784.36941668761</v>
      </c>
      <c r="D63" s="234">
        <v>10</v>
      </c>
      <c r="E63" s="266">
        <f t="shared" si="0"/>
        <v>3864</v>
      </c>
      <c r="F63" s="267">
        <f t="shared" si="4"/>
        <v>10978</v>
      </c>
      <c r="G63" s="268">
        <f t="shared" si="1"/>
        <v>42418992</v>
      </c>
      <c r="H63" s="267">
        <f t="shared" si="2"/>
        <v>21209496</v>
      </c>
      <c r="I63" s="266">
        <f t="shared" si="3"/>
        <v>63628488</v>
      </c>
    </row>
    <row r="64" spans="2:9">
      <c r="B64" s="211">
        <v>59</v>
      </c>
      <c r="C64" s="233">
        <f>'성장 곡선'!C64*60</f>
        <v>113311.36398448369</v>
      </c>
      <c r="D64" s="234">
        <v>10</v>
      </c>
      <c r="E64" s="266">
        <f t="shared" si="0"/>
        <v>3981</v>
      </c>
      <c r="F64" s="267">
        <f t="shared" si="4"/>
        <v>11331</v>
      </c>
      <c r="G64" s="268">
        <f t="shared" si="1"/>
        <v>45108711</v>
      </c>
      <c r="H64" s="267">
        <f t="shared" si="2"/>
        <v>22554356</v>
      </c>
      <c r="I64" s="266">
        <f t="shared" si="3"/>
        <v>67663066.5</v>
      </c>
    </row>
    <row r="65" spans="2:9">
      <c r="B65" s="216">
        <v>60</v>
      </c>
      <c r="C65" s="224">
        <f>'성장 곡선'!C65*60</f>
        <v>116889.54039245461</v>
      </c>
      <c r="D65" s="238">
        <v>10</v>
      </c>
      <c r="E65" s="269">
        <f t="shared" si="0"/>
        <v>4100</v>
      </c>
      <c r="F65" s="270">
        <f t="shared" si="4"/>
        <v>11689</v>
      </c>
      <c r="G65" s="269">
        <f t="shared" si="1"/>
        <v>47924900</v>
      </c>
      <c r="H65" s="270">
        <f t="shared" si="2"/>
        <v>23962450</v>
      </c>
      <c r="I65" s="269">
        <f t="shared" si="3"/>
        <v>71887350</v>
      </c>
    </row>
    <row r="66" spans="2:9">
      <c r="B66" s="211">
        <v>61</v>
      </c>
      <c r="C66" s="233">
        <f>'성장 곡선'!C66*60</f>
        <v>120518.76976325817</v>
      </c>
      <c r="D66" s="234">
        <v>10</v>
      </c>
      <c r="E66" s="266">
        <f t="shared" si="0"/>
        <v>4221</v>
      </c>
      <c r="F66" s="267">
        <f t="shared" si="4"/>
        <v>12052</v>
      </c>
      <c r="G66" s="268">
        <f t="shared" si="1"/>
        <v>50871492</v>
      </c>
      <c r="H66" s="267">
        <f t="shared" si="2"/>
        <v>25435746</v>
      </c>
      <c r="I66" s="266">
        <f t="shared" si="3"/>
        <v>76307238</v>
      </c>
    </row>
    <row r="67" spans="2:9">
      <c r="B67" s="211">
        <v>62</v>
      </c>
      <c r="C67" s="233">
        <f>'성장 곡선'!C67*60</f>
        <v>124198.92566659677</v>
      </c>
      <c r="D67" s="234">
        <v>10</v>
      </c>
      <c r="E67" s="266">
        <f t="shared" si="0"/>
        <v>4344</v>
      </c>
      <c r="F67" s="267">
        <f t="shared" si="4"/>
        <v>12420</v>
      </c>
      <c r="G67" s="268">
        <f t="shared" si="1"/>
        <v>53952480</v>
      </c>
      <c r="H67" s="267">
        <f t="shared" si="2"/>
        <v>26976240</v>
      </c>
      <c r="I67" s="266">
        <f t="shared" si="3"/>
        <v>80928720</v>
      </c>
    </row>
    <row r="68" spans="2:9">
      <c r="B68" s="211">
        <v>63</v>
      </c>
      <c r="C68" s="233">
        <f>'성장 곡선'!C68*60</f>
        <v>127929.88403375834</v>
      </c>
      <c r="D68" s="234">
        <v>10</v>
      </c>
      <c r="E68" s="266">
        <f t="shared" si="0"/>
        <v>4469</v>
      </c>
      <c r="F68" s="267">
        <f t="shared" si="4"/>
        <v>12793</v>
      </c>
      <c r="G68" s="268">
        <f t="shared" si="1"/>
        <v>57171917</v>
      </c>
      <c r="H68" s="267">
        <f t="shared" si="2"/>
        <v>28585959</v>
      </c>
      <c r="I68" s="266">
        <f t="shared" si="3"/>
        <v>85757875.5</v>
      </c>
    </row>
    <row r="69" spans="2:9">
      <c r="B69" s="211">
        <v>64</v>
      </c>
      <c r="C69" s="233">
        <f>'성장 곡선'!C69*60</f>
        <v>131711.52307645971</v>
      </c>
      <c r="D69" s="234">
        <v>10</v>
      </c>
      <c r="E69" s="266">
        <f t="shared" si="0"/>
        <v>4596</v>
      </c>
      <c r="F69" s="267">
        <f t="shared" si="4"/>
        <v>13171</v>
      </c>
      <c r="G69" s="268">
        <f t="shared" si="1"/>
        <v>60533916</v>
      </c>
      <c r="H69" s="267">
        <f t="shared" si="2"/>
        <v>30266958</v>
      </c>
      <c r="I69" s="266">
        <f t="shared" si="3"/>
        <v>90800874</v>
      </c>
    </row>
    <row r="70" spans="2:9">
      <c r="B70" s="211">
        <v>65</v>
      </c>
      <c r="C70" s="233">
        <f>'성장 곡선'!C70*60</f>
        <v>135543.72320971047</v>
      </c>
      <c r="D70" s="234">
        <v>10</v>
      </c>
      <c r="E70" s="266">
        <f t="shared" si="0"/>
        <v>4725</v>
      </c>
      <c r="F70" s="267">
        <f t="shared" si="4"/>
        <v>13554</v>
      </c>
      <c r="G70" s="268">
        <f t="shared" si="1"/>
        <v>64042650</v>
      </c>
      <c r="H70" s="267">
        <f t="shared" si="2"/>
        <v>32021325</v>
      </c>
      <c r="I70" s="266">
        <f t="shared" si="3"/>
        <v>96063975</v>
      </c>
    </row>
    <row r="71" spans="2:9">
      <c r="B71" s="211">
        <v>66</v>
      </c>
      <c r="C71" s="233">
        <f>'성장 곡선'!C71*60</f>
        <v>139426.36697844323</v>
      </c>
      <c r="D71" s="234">
        <v>10</v>
      </c>
      <c r="E71" s="266">
        <f t="shared" ref="E71:E95" si="5">500+POWER(B71,2)</f>
        <v>4856</v>
      </c>
      <c r="F71" s="267">
        <f t="shared" si="4"/>
        <v>13943</v>
      </c>
      <c r="G71" s="268">
        <f t="shared" ref="G71:G95" si="6">ROUND(E71*F71,0)</f>
        <v>67707208</v>
      </c>
      <c r="H71" s="267">
        <f t="shared" ref="H71:H95" si="7">ROUND(I71-G71,0)</f>
        <v>33853604</v>
      </c>
      <c r="I71" s="266">
        <f t="shared" ref="I71:I95" si="8">G71*1.5</f>
        <v>101560812</v>
      </c>
    </row>
    <row r="72" spans="2:9">
      <c r="B72" s="211">
        <v>67</v>
      </c>
      <c r="C72" s="233">
        <f>'성장 곡선'!C72*60</f>
        <v>143359.33898766656</v>
      </c>
      <c r="D72" s="234">
        <v>10</v>
      </c>
      <c r="E72" s="266">
        <f t="shared" si="5"/>
        <v>4989</v>
      </c>
      <c r="F72" s="267">
        <f t="shared" ref="F72:F95" si="9">ROUND(C72/D72,0)</f>
        <v>14336</v>
      </c>
      <c r="G72" s="268">
        <f t="shared" si="6"/>
        <v>71522304</v>
      </c>
      <c r="H72" s="267">
        <f t="shared" si="7"/>
        <v>35761152</v>
      </c>
      <c r="I72" s="266">
        <f t="shared" si="8"/>
        <v>107283456</v>
      </c>
    </row>
    <row r="73" spans="2:9">
      <c r="B73" s="211">
        <v>68</v>
      </c>
      <c r="C73" s="233">
        <f>'성장 곡선'!C73*60</f>
        <v>147342.52583592551</v>
      </c>
      <c r="D73" s="234">
        <v>10</v>
      </c>
      <c r="E73" s="266">
        <f t="shared" si="5"/>
        <v>5124</v>
      </c>
      <c r="F73" s="267">
        <f t="shared" si="9"/>
        <v>14734</v>
      </c>
      <c r="G73" s="268">
        <f t="shared" si="6"/>
        <v>75497016</v>
      </c>
      <c r="H73" s="267">
        <f t="shared" si="7"/>
        <v>37748508</v>
      </c>
      <c r="I73" s="266">
        <f t="shared" si="8"/>
        <v>113245524</v>
      </c>
    </row>
    <row r="74" spans="2:9">
      <c r="B74" s="211">
        <v>69</v>
      </c>
      <c r="C74" s="233">
        <f>'성장 곡선'!C74*60</f>
        <v>151375.81605186302</v>
      </c>
      <c r="D74" s="234">
        <v>10</v>
      </c>
      <c r="E74" s="266">
        <f t="shared" si="5"/>
        <v>5261</v>
      </c>
      <c r="F74" s="267">
        <f t="shared" si="9"/>
        <v>15138</v>
      </c>
      <c r="G74" s="268">
        <f t="shared" si="6"/>
        <v>79641018</v>
      </c>
      <c r="H74" s="267">
        <f t="shared" si="7"/>
        <v>39820509</v>
      </c>
      <c r="I74" s="266">
        <f t="shared" si="8"/>
        <v>119461527</v>
      </c>
    </row>
    <row r="75" spans="2:9">
      <c r="B75" s="216">
        <v>70</v>
      </c>
      <c r="C75" s="224">
        <f>'성장 곡선'!C75*60</f>
        <v>155459.10003369715</v>
      </c>
      <c r="D75" s="238">
        <v>10</v>
      </c>
      <c r="E75" s="269">
        <f t="shared" si="5"/>
        <v>5400</v>
      </c>
      <c r="F75" s="270">
        <f t="shared" si="9"/>
        <v>15546</v>
      </c>
      <c r="G75" s="269">
        <f t="shared" si="6"/>
        <v>83948400</v>
      </c>
      <c r="H75" s="270">
        <f t="shared" si="7"/>
        <v>41974200</v>
      </c>
      <c r="I75" s="269">
        <f t="shared" si="8"/>
        <v>125922600</v>
      </c>
    </row>
    <row r="76" spans="2:9">
      <c r="B76" s="211">
        <v>71</v>
      </c>
      <c r="C76" s="233">
        <f>'성장 곡선'!C76*60</f>
        <v>159592.26999143825</v>
      </c>
      <c r="D76" s="234">
        <v>10</v>
      </c>
      <c r="E76" s="266">
        <f t="shared" si="5"/>
        <v>5541</v>
      </c>
      <c r="F76" s="267">
        <f t="shared" si="9"/>
        <v>15959</v>
      </c>
      <c r="G76" s="268">
        <f t="shared" si="6"/>
        <v>88428819</v>
      </c>
      <c r="H76" s="267">
        <f t="shared" si="7"/>
        <v>44214410</v>
      </c>
      <c r="I76" s="266">
        <f t="shared" si="8"/>
        <v>132643228.5</v>
      </c>
    </row>
    <row r="77" spans="2:9">
      <c r="B77" s="211">
        <v>72</v>
      </c>
      <c r="C77" s="233">
        <f>'성장 곡선'!C77*60</f>
        <v>163775.21989168643</v>
      </c>
      <c r="D77" s="234">
        <v>10</v>
      </c>
      <c r="E77" s="266">
        <f t="shared" si="5"/>
        <v>5684</v>
      </c>
      <c r="F77" s="267">
        <f t="shared" si="9"/>
        <v>16378</v>
      </c>
      <c r="G77" s="268">
        <f t="shared" si="6"/>
        <v>93092552</v>
      </c>
      <c r="H77" s="267">
        <f t="shared" si="7"/>
        <v>46546276</v>
      </c>
      <c r="I77" s="266">
        <f t="shared" si="8"/>
        <v>139638828</v>
      </c>
    </row>
    <row r="78" spans="2:9">
      <c r="B78" s="211">
        <v>73</v>
      </c>
      <c r="C78" s="233">
        <f>'성장 곡선'!C78*60</f>
        <v>168007.84540485821</v>
      </c>
      <c r="D78" s="234">
        <v>10</v>
      </c>
      <c r="E78" s="266">
        <f t="shared" si="5"/>
        <v>5829</v>
      </c>
      <c r="F78" s="267">
        <f t="shared" si="9"/>
        <v>16801</v>
      </c>
      <c r="G78" s="268">
        <f t="shared" si="6"/>
        <v>97933029</v>
      </c>
      <c r="H78" s="267">
        <f t="shared" si="7"/>
        <v>48966515</v>
      </c>
      <c r="I78" s="266">
        <f t="shared" si="8"/>
        <v>146899543.5</v>
      </c>
    </row>
    <row r="79" spans="2:9">
      <c r="B79" s="211">
        <v>74</v>
      </c>
      <c r="C79" s="233">
        <f>'성장 곡선'!C79*60</f>
        <v>172290.04385470477</v>
      </c>
      <c r="D79" s="234">
        <v>10</v>
      </c>
      <c r="E79" s="266">
        <f t="shared" si="5"/>
        <v>5976</v>
      </c>
      <c r="F79" s="267">
        <f t="shared" si="9"/>
        <v>17229</v>
      </c>
      <c r="G79" s="268">
        <f t="shared" si="6"/>
        <v>102960504</v>
      </c>
      <c r="H79" s="267">
        <f t="shared" si="7"/>
        <v>51480252</v>
      </c>
      <c r="I79" s="266">
        <f t="shared" si="8"/>
        <v>154440756</v>
      </c>
    </row>
    <row r="80" spans="2:9">
      <c r="B80" s="211">
        <v>75</v>
      </c>
      <c r="C80" s="233">
        <f>'성장 곡선'!C80*60</f>
        <v>176621.71416999033</v>
      </c>
      <c r="D80" s="234">
        <v>10</v>
      </c>
      <c r="E80" s="266">
        <f t="shared" si="5"/>
        <v>6125</v>
      </c>
      <c r="F80" s="267">
        <f t="shared" si="9"/>
        <v>17662</v>
      </c>
      <c r="G80" s="268">
        <f t="shared" si="6"/>
        <v>108179750</v>
      </c>
      <c r="H80" s="267">
        <f t="shared" si="7"/>
        <v>54089875</v>
      </c>
      <c r="I80" s="266">
        <f t="shared" si="8"/>
        <v>162269625</v>
      </c>
    </row>
    <row r="81" spans="2:9">
      <c r="B81" s="211">
        <v>76</v>
      </c>
      <c r="C81" s="233">
        <f>'성장 곡선'!C81*60</f>
        <v>181002.7568382161</v>
      </c>
      <c r="D81" s="234">
        <v>10</v>
      </c>
      <c r="E81" s="266">
        <f t="shared" si="5"/>
        <v>6276</v>
      </c>
      <c r="F81" s="267">
        <f t="shared" si="9"/>
        <v>18100</v>
      </c>
      <c r="G81" s="268">
        <f t="shared" si="6"/>
        <v>113595600</v>
      </c>
      <c r="H81" s="267">
        <f t="shared" si="7"/>
        <v>56797800</v>
      </c>
      <c r="I81" s="266">
        <f t="shared" si="8"/>
        <v>170393400</v>
      </c>
    </row>
    <row r="82" spans="2:9">
      <c r="B82" s="211">
        <v>77</v>
      </c>
      <c r="C82" s="233">
        <f>'성장 곡선'!C82*60</f>
        <v>185433.07386126756</v>
      </c>
      <c r="D82" s="234">
        <v>10</v>
      </c>
      <c r="E82" s="266">
        <f t="shared" si="5"/>
        <v>6429</v>
      </c>
      <c r="F82" s="267">
        <f t="shared" si="9"/>
        <v>18543</v>
      </c>
      <c r="G82" s="268">
        <f t="shared" si="6"/>
        <v>119212947</v>
      </c>
      <c r="H82" s="267">
        <f t="shared" si="7"/>
        <v>59606474</v>
      </c>
      <c r="I82" s="266">
        <f t="shared" si="8"/>
        <v>178819420.5</v>
      </c>
    </row>
    <row r="83" spans="2:9">
      <c r="B83" s="211">
        <v>78</v>
      </c>
      <c r="C83" s="233">
        <f>'성장 곡선'!C83*60</f>
        <v>189912.56871289099</v>
      </c>
      <c r="D83" s="234">
        <v>10</v>
      </c>
      <c r="E83" s="266">
        <f t="shared" si="5"/>
        <v>6584</v>
      </c>
      <c r="F83" s="267">
        <f t="shared" si="9"/>
        <v>18991</v>
      </c>
      <c r="G83" s="268">
        <f t="shared" si="6"/>
        <v>125036744</v>
      </c>
      <c r="H83" s="267">
        <f t="shared" si="7"/>
        <v>62518372</v>
      </c>
      <c r="I83" s="266">
        <f t="shared" si="8"/>
        <v>187555116</v>
      </c>
    </row>
    <row r="84" spans="2:9">
      <c r="B84" s="211">
        <v>79</v>
      </c>
      <c r="C84" s="233">
        <f>'성장 곡선'!C84*60</f>
        <v>194441.14629789517</v>
      </c>
      <c r="D84" s="234">
        <v>10</v>
      </c>
      <c r="E84" s="266">
        <f t="shared" si="5"/>
        <v>6741</v>
      </c>
      <c r="F84" s="267">
        <f t="shared" si="9"/>
        <v>19444</v>
      </c>
      <c r="G84" s="268">
        <f t="shared" si="6"/>
        <v>131072004</v>
      </c>
      <c r="H84" s="267">
        <f t="shared" si="7"/>
        <v>65536002</v>
      </c>
      <c r="I84" s="266">
        <f t="shared" si="8"/>
        <v>196608006</v>
      </c>
    </row>
    <row r="85" spans="2:9">
      <c r="B85" s="216">
        <v>80</v>
      </c>
      <c r="C85" s="224">
        <f>'성장 곡선'!C85*60</f>
        <v>199018.7129129899</v>
      </c>
      <c r="D85" s="238">
        <v>10</v>
      </c>
      <c r="E85" s="269">
        <f t="shared" si="5"/>
        <v>6900</v>
      </c>
      <c r="F85" s="270">
        <f t="shared" si="9"/>
        <v>19902</v>
      </c>
      <c r="G85" s="269">
        <f t="shared" si="6"/>
        <v>137323800</v>
      </c>
      <c r="H85" s="270">
        <f t="shared" si="7"/>
        <v>68661900</v>
      </c>
      <c r="I85" s="269">
        <f t="shared" si="8"/>
        <v>205985700</v>
      </c>
    </row>
    <row r="86" spans="2:9">
      <c r="B86" s="211">
        <v>81</v>
      </c>
      <c r="C86" s="233">
        <f>'성장 곡선'!C86*60</f>
        <v>203645.17620917363</v>
      </c>
      <c r="D86" s="234">
        <v>10</v>
      </c>
      <c r="E86" s="266">
        <f t="shared" si="5"/>
        <v>7061</v>
      </c>
      <c r="F86" s="267">
        <f t="shared" si="9"/>
        <v>20365</v>
      </c>
      <c r="G86" s="268">
        <f t="shared" si="6"/>
        <v>143797265</v>
      </c>
      <c r="H86" s="267">
        <f t="shared" si="7"/>
        <v>71898633</v>
      </c>
      <c r="I86" s="266">
        <f t="shared" si="8"/>
        <v>215695897.5</v>
      </c>
    </row>
    <row r="87" spans="2:9">
      <c r="B87" s="211">
        <v>82</v>
      </c>
      <c r="C87" s="233">
        <f>'성장 곡선'!C87*60</f>
        <v>208320.44515559255</v>
      </c>
      <c r="D87" s="234">
        <v>10</v>
      </c>
      <c r="E87" s="266">
        <f t="shared" si="5"/>
        <v>7224</v>
      </c>
      <c r="F87" s="267">
        <f t="shared" si="9"/>
        <v>20832</v>
      </c>
      <c r="G87" s="268">
        <f t="shared" si="6"/>
        <v>150490368</v>
      </c>
      <c r="H87" s="267">
        <f t="shared" si="7"/>
        <v>75245184</v>
      </c>
      <c r="I87" s="266">
        <f t="shared" si="8"/>
        <v>225735552</v>
      </c>
    </row>
    <row r="88" spans="2:9">
      <c r="B88" s="211">
        <v>83</v>
      </c>
      <c r="C88" s="233">
        <f>'성장 곡선'!C88*60</f>
        <v>213044.43000479546</v>
      </c>
      <c r="D88" s="234">
        <v>10</v>
      </c>
      <c r="E88" s="266">
        <f t="shared" si="5"/>
        <v>7389</v>
      </c>
      <c r="F88" s="267">
        <f t="shared" si="9"/>
        <v>21304</v>
      </c>
      <c r="G88" s="268">
        <f t="shared" si="6"/>
        <v>157415256</v>
      </c>
      <c r="H88" s="267">
        <f t="shared" si="7"/>
        <v>78707628</v>
      </c>
      <c r="I88" s="266">
        <f t="shared" si="8"/>
        <v>236122884</v>
      </c>
    </row>
    <row r="89" spans="2:9">
      <c r="B89" s="211">
        <v>84</v>
      </c>
      <c r="C89" s="233">
        <f>'성장 곡선'!C89*60</f>
        <v>217817.04225931424</v>
      </c>
      <c r="D89" s="234">
        <v>10</v>
      </c>
      <c r="E89" s="266">
        <f t="shared" si="5"/>
        <v>7556</v>
      </c>
      <c r="F89" s="267">
        <f t="shared" si="9"/>
        <v>21782</v>
      </c>
      <c r="G89" s="268">
        <f t="shared" si="6"/>
        <v>164584792</v>
      </c>
      <c r="H89" s="267">
        <f t="shared" si="7"/>
        <v>82292396</v>
      </c>
      <c r="I89" s="266">
        <f t="shared" si="8"/>
        <v>246877188</v>
      </c>
    </row>
    <row r="90" spans="2:9">
      <c r="B90" s="211">
        <v>85</v>
      </c>
      <c r="C90" s="233">
        <f>'성장 곡선'!C90*60</f>
        <v>222638.19463950495</v>
      </c>
      <c r="D90" s="234">
        <v>10</v>
      </c>
      <c r="E90" s="266">
        <f t="shared" si="5"/>
        <v>7725</v>
      </c>
      <c r="F90" s="267">
        <f t="shared" si="9"/>
        <v>22264</v>
      </c>
      <c r="G90" s="268">
        <f t="shared" si="6"/>
        <v>171989400</v>
      </c>
      <c r="H90" s="267">
        <f t="shared" si="7"/>
        <v>85994700</v>
      </c>
      <c r="I90" s="266">
        <f t="shared" si="8"/>
        <v>257984100</v>
      </c>
    </row>
    <row r="91" spans="2:9">
      <c r="B91" s="211">
        <v>86</v>
      </c>
      <c r="C91" s="233">
        <f>'성장 곡선'!C91*60</f>
        <v>227507.80105258315</v>
      </c>
      <c r="D91" s="234">
        <v>10</v>
      </c>
      <c r="E91" s="266">
        <f t="shared" si="5"/>
        <v>7896</v>
      </c>
      <c r="F91" s="267">
        <f t="shared" si="9"/>
        <v>22751</v>
      </c>
      <c r="G91" s="268">
        <f t="shared" si="6"/>
        <v>179641896</v>
      </c>
      <c r="H91" s="267">
        <f t="shared" si="7"/>
        <v>89820948</v>
      </c>
      <c r="I91" s="266">
        <f t="shared" si="8"/>
        <v>269462844</v>
      </c>
    </row>
    <row r="92" spans="2:9">
      <c r="B92" s="211">
        <v>87</v>
      </c>
      <c r="C92" s="233">
        <f>'성장 곡선'!C92*60</f>
        <v>232425.77656280692</v>
      </c>
      <c r="D92" s="234">
        <v>10</v>
      </c>
      <c r="E92" s="266">
        <f t="shared" si="5"/>
        <v>8069</v>
      </c>
      <c r="F92" s="267">
        <f t="shared" si="9"/>
        <v>23243</v>
      </c>
      <c r="G92" s="268">
        <f t="shared" si="6"/>
        <v>187547767</v>
      </c>
      <c r="H92" s="267">
        <f t="shared" si="7"/>
        <v>93773884</v>
      </c>
      <c r="I92" s="266">
        <f t="shared" si="8"/>
        <v>281321650.5</v>
      </c>
    </row>
    <row r="93" spans="2:9">
      <c r="B93" s="211">
        <v>88</v>
      </c>
      <c r="C93" s="233">
        <f>'성장 곡선'!C93*60</f>
        <v>237392.03736273348</v>
      </c>
      <c r="D93" s="234">
        <v>10</v>
      </c>
      <c r="E93" s="266">
        <f t="shared" si="5"/>
        <v>8244</v>
      </c>
      <c r="F93" s="267">
        <f t="shared" si="9"/>
        <v>23739</v>
      </c>
      <c r="G93" s="268">
        <f t="shared" si="6"/>
        <v>195704316</v>
      </c>
      <c r="H93" s="267">
        <f t="shared" si="7"/>
        <v>97852158</v>
      </c>
      <c r="I93" s="266">
        <f t="shared" si="8"/>
        <v>293556474</v>
      </c>
    </row>
    <row r="94" spans="2:9">
      <c r="B94" s="211">
        <v>89</v>
      </c>
      <c r="C94" s="233">
        <f>'성장 곡선'!C94*60</f>
        <v>242406.50074552227</v>
      </c>
      <c r="D94" s="234">
        <v>10</v>
      </c>
      <c r="E94" s="266">
        <f t="shared" si="5"/>
        <v>8421</v>
      </c>
      <c r="F94" s="267">
        <f t="shared" si="9"/>
        <v>24241</v>
      </c>
      <c r="G94" s="268">
        <f t="shared" si="6"/>
        <v>204133461</v>
      </c>
      <c r="H94" s="267">
        <f t="shared" si="7"/>
        <v>102066731</v>
      </c>
      <c r="I94" s="266">
        <f t="shared" si="8"/>
        <v>306200191.5</v>
      </c>
    </row>
    <row r="95" spans="2:9" ht="17.25" thickBot="1">
      <c r="B95" s="239">
        <v>90</v>
      </c>
      <c r="C95" s="241">
        <f>'성장 곡선'!C95*60</f>
        <v>247469.08507821365</v>
      </c>
      <c r="D95" s="242">
        <v>10</v>
      </c>
      <c r="E95" s="271">
        <f t="shared" si="5"/>
        <v>8600</v>
      </c>
      <c r="F95" s="272">
        <f t="shared" si="9"/>
        <v>24747</v>
      </c>
      <c r="G95" s="271">
        <f t="shared" si="6"/>
        <v>212824200</v>
      </c>
      <c r="H95" s="272">
        <f t="shared" si="7"/>
        <v>106412100</v>
      </c>
      <c r="I95" s="271">
        <f t="shared" si="8"/>
        <v>319236300</v>
      </c>
    </row>
  </sheetData>
  <mergeCells count="14">
    <mergeCell ref="B2:I2"/>
    <mergeCell ref="H3:I3"/>
    <mergeCell ref="B3:G3"/>
    <mergeCell ref="S5:Y5"/>
    <mergeCell ref="S6:Y6"/>
    <mergeCell ref="S17:Y18"/>
    <mergeCell ref="S20:Y20"/>
    <mergeCell ref="S22:Y22"/>
    <mergeCell ref="S24:Y25"/>
    <mergeCell ref="S7:Y7"/>
    <mergeCell ref="S8:Y8"/>
    <mergeCell ref="S10:Y10"/>
    <mergeCell ref="S12:Y13"/>
    <mergeCell ref="S15:Y15"/>
  </mergeCells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A97"/>
  <sheetViews>
    <sheetView zoomScale="85" zoomScaleNormal="85" workbookViewId="0">
      <selection activeCell="U27" sqref="U27"/>
    </sheetView>
  </sheetViews>
  <sheetFormatPr defaultRowHeight="16.5"/>
  <cols>
    <col min="1" max="1" width="1.625" customWidth="1"/>
    <col min="3" max="3" width="13" bestFit="1" customWidth="1"/>
    <col min="6" max="6" width="20.875" bestFit="1" customWidth="1"/>
    <col min="7" max="7" width="16.875" customWidth="1"/>
    <col min="8" max="8" width="19.75" customWidth="1"/>
    <col min="9" max="9" width="17.125" customWidth="1"/>
    <col min="10" max="10" width="21.625" customWidth="1"/>
  </cols>
  <sheetData>
    <row r="1" spans="2:27" ht="17.25" thickBot="1"/>
    <row r="2" spans="2:27" ht="38.25" thickBot="1">
      <c r="B2" s="369" t="s">
        <v>125</v>
      </c>
      <c r="C2" s="370"/>
      <c r="D2" s="370"/>
      <c r="E2" s="370"/>
      <c r="F2" s="370"/>
      <c r="G2" s="370"/>
      <c r="H2" s="370"/>
      <c r="I2" s="370"/>
      <c r="J2" s="371"/>
    </row>
    <row r="3" spans="2:27" ht="17.25" thickBot="1">
      <c r="B3" s="372" t="s">
        <v>126</v>
      </c>
      <c r="C3" s="373"/>
      <c r="D3" s="373"/>
      <c r="E3" s="373"/>
      <c r="F3" s="373"/>
      <c r="G3" s="373"/>
      <c r="H3" s="374"/>
      <c r="I3" s="375" t="s">
        <v>92</v>
      </c>
      <c r="J3" s="377"/>
    </row>
    <row r="4" spans="2:27">
      <c r="B4" s="212"/>
      <c r="C4" s="212"/>
      <c r="D4" s="212"/>
      <c r="E4" s="212"/>
      <c r="F4" s="212"/>
      <c r="G4" s="212"/>
      <c r="H4" s="212"/>
      <c r="I4" s="212"/>
      <c r="J4" s="212"/>
    </row>
    <row r="5" spans="2:27" ht="17.25" thickBot="1">
      <c r="F5" s="258">
        <v>0.3</v>
      </c>
      <c r="G5" s="258">
        <v>0.3</v>
      </c>
      <c r="H5" s="258">
        <v>0.7</v>
      </c>
      <c r="I5" s="258"/>
    </row>
    <row r="6" spans="2:27" ht="33.75" thickBot="1">
      <c r="B6" s="235" t="s">
        <v>101</v>
      </c>
      <c r="C6" s="236" t="s">
        <v>103</v>
      </c>
      <c r="E6" s="213" t="s">
        <v>100</v>
      </c>
      <c r="F6" s="221" t="s">
        <v>120</v>
      </c>
      <c r="G6" s="221" t="s">
        <v>123</v>
      </c>
      <c r="H6" s="221" t="s">
        <v>124</v>
      </c>
      <c r="I6" s="229" t="s">
        <v>102</v>
      </c>
      <c r="J6" s="220" t="s">
        <v>122</v>
      </c>
      <c r="U6" s="410" t="s">
        <v>109</v>
      </c>
      <c r="V6" s="411"/>
      <c r="W6" s="411"/>
      <c r="X6" s="411"/>
      <c r="Y6" s="411"/>
      <c r="Z6" s="411"/>
      <c r="AA6" s="412"/>
    </row>
    <row r="7" spans="2:27" ht="17.25">
      <c r="B7" s="230">
        <v>1</v>
      </c>
      <c r="C7" s="273">
        <f>'성장 경험치 곡선'!I6</f>
        <v>5260.5</v>
      </c>
      <c r="E7" s="207">
        <v>1</v>
      </c>
      <c r="F7" s="276">
        <f>ROUND(C7*$F$5,0)</f>
        <v>1578</v>
      </c>
      <c r="G7" s="259">
        <f>ROUND(F7*$G$5,0)</f>
        <v>473</v>
      </c>
      <c r="H7" s="259">
        <f>ROUND(F7*$H$5,0)</f>
        <v>1105</v>
      </c>
      <c r="I7" s="259">
        <f>'성장 경험치 곡선'!F6</f>
        <v>7</v>
      </c>
      <c r="J7" s="261">
        <f>ROUND(H7/I7,0)</f>
        <v>158</v>
      </c>
      <c r="U7" s="413" t="s">
        <v>128</v>
      </c>
      <c r="V7" s="414"/>
      <c r="W7" s="414"/>
      <c r="X7" s="414"/>
      <c r="Y7" s="414"/>
      <c r="Z7" s="414"/>
      <c r="AA7" s="415"/>
    </row>
    <row r="8" spans="2:27" ht="17.25">
      <c r="B8" s="211">
        <v>2</v>
      </c>
      <c r="C8" s="263">
        <f>'성장 경험치 곡선'!I7</f>
        <v>17388</v>
      </c>
      <c r="E8" s="208">
        <v>2</v>
      </c>
      <c r="F8" s="277">
        <f t="shared" ref="F8:F71" si="0">ROUND(C8*$F$5,0)</f>
        <v>5216</v>
      </c>
      <c r="G8" s="260">
        <f t="shared" ref="G8:G71" si="1">ROUND(F8*$G$5,0)</f>
        <v>1565</v>
      </c>
      <c r="H8" s="260">
        <f t="shared" ref="H8:H71" si="2">ROUND(F8*$H$5,0)</f>
        <v>3651</v>
      </c>
      <c r="I8" s="260">
        <f>'성장 경험치 곡선'!F7</f>
        <v>23</v>
      </c>
      <c r="J8" s="262">
        <f t="shared" ref="J8:J71" si="3">ROUND(H8/I8,0)</f>
        <v>159</v>
      </c>
      <c r="U8" s="409"/>
      <c r="V8" s="407"/>
      <c r="W8" s="407"/>
      <c r="X8" s="407"/>
      <c r="Y8" s="407"/>
      <c r="Z8" s="407"/>
      <c r="AA8" s="408"/>
    </row>
    <row r="9" spans="2:27" ht="17.25" customHeight="1">
      <c r="B9" s="211">
        <v>3</v>
      </c>
      <c r="C9" s="263">
        <f>'성장 경험치 곡선'!I8</f>
        <v>35884.5</v>
      </c>
      <c r="E9" s="208">
        <v>3</v>
      </c>
      <c r="F9" s="277">
        <f t="shared" si="0"/>
        <v>10765</v>
      </c>
      <c r="G9" s="260">
        <f t="shared" si="1"/>
        <v>3230</v>
      </c>
      <c r="H9" s="260">
        <f t="shared" si="2"/>
        <v>7536</v>
      </c>
      <c r="I9" s="260">
        <f>'성장 경험치 곡선'!F8</f>
        <v>47</v>
      </c>
      <c r="J9" s="262">
        <f t="shared" si="3"/>
        <v>160</v>
      </c>
      <c r="U9" s="406" t="s">
        <v>129</v>
      </c>
      <c r="V9" s="419"/>
      <c r="W9" s="419"/>
      <c r="X9" s="419"/>
      <c r="Y9" s="419"/>
      <c r="Z9" s="419"/>
      <c r="AA9" s="420"/>
    </row>
    <row r="10" spans="2:27" ht="17.25" customHeight="1">
      <c r="B10" s="211">
        <v>4</v>
      </c>
      <c r="C10" s="263">
        <f>'성장 경험치 곡선'!I9</f>
        <v>61146</v>
      </c>
      <c r="E10" s="208">
        <v>4</v>
      </c>
      <c r="F10" s="277">
        <f t="shared" si="0"/>
        <v>18344</v>
      </c>
      <c r="G10" s="260">
        <f t="shared" si="1"/>
        <v>5503</v>
      </c>
      <c r="H10" s="260">
        <f t="shared" si="2"/>
        <v>12841</v>
      </c>
      <c r="I10" s="260">
        <f>'성장 경험치 곡선'!F9</f>
        <v>79</v>
      </c>
      <c r="J10" s="262">
        <f t="shared" si="3"/>
        <v>163</v>
      </c>
      <c r="U10" s="406"/>
      <c r="V10" s="419"/>
      <c r="W10" s="419"/>
      <c r="X10" s="419"/>
      <c r="Y10" s="419"/>
      <c r="Z10" s="419"/>
      <c r="AA10" s="420"/>
    </row>
    <row r="11" spans="2:27" ht="17.25">
      <c r="B11" s="211">
        <v>5</v>
      </c>
      <c r="C11" s="263">
        <f>'성장 경험치 곡선'!I10</f>
        <v>93712.5</v>
      </c>
      <c r="E11" s="208">
        <v>5</v>
      </c>
      <c r="F11" s="277">
        <f t="shared" si="0"/>
        <v>28114</v>
      </c>
      <c r="G11" s="260">
        <f t="shared" si="1"/>
        <v>8434</v>
      </c>
      <c r="H11" s="260">
        <f t="shared" si="2"/>
        <v>19680</v>
      </c>
      <c r="I11" s="260">
        <f>'성장 경험치 곡선'!F10</f>
        <v>119</v>
      </c>
      <c r="J11" s="262">
        <f t="shared" si="3"/>
        <v>165</v>
      </c>
      <c r="U11" s="409"/>
      <c r="V11" s="407"/>
      <c r="W11" s="407"/>
      <c r="X11" s="407"/>
      <c r="Y11" s="407"/>
      <c r="Z11" s="407"/>
      <c r="AA11" s="408"/>
    </row>
    <row r="12" spans="2:27" ht="17.25" customHeight="1">
      <c r="B12" s="211">
        <v>6</v>
      </c>
      <c r="C12" s="263">
        <f>'성장 경험치 곡선'!I11</f>
        <v>133464</v>
      </c>
      <c r="E12" s="208">
        <v>6</v>
      </c>
      <c r="F12" s="277">
        <f t="shared" si="0"/>
        <v>40039</v>
      </c>
      <c r="G12" s="260">
        <f t="shared" si="1"/>
        <v>12012</v>
      </c>
      <c r="H12" s="260">
        <f t="shared" si="2"/>
        <v>28027</v>
      </c>
      <c r="I12" s="260">
        <f>'성장 경험치 곡선'!F11</f>
        <v>166</v>
      </c>
      <c r="J12" s="262">
        <f t="shared" si="3"/>
        <v>169</v>
      </c>
      <c r="U12" s="406" t="s">
        <v>130</v>
      </c>
      <c r="V12" s="407"/>
      <c r="W12" s="407"/>
      <c r="X12" s="407"/>
      <c r="Y12" s="407"/>
      <c r="Z12" s="407"/>
      <c r="AA12" s="408"/>
    </row>
    <row r="13" spans="2:27" ht="16.5" customHeight="1">
      <c r="B13" s="211">
        <v>7</v>
      </c>
      <c r="C13" s="263">
        <f>'성장 경험치 곡선'!I12</f>
        <v>181993.5</v>
      </c>
      <c r="E13" s="208">
        <v>7</v>
      </c>
      <c r="F13" s="277">
        <f t="shared" si="0"/>
        <v>54598</v>
      </c>
      <c r="G13" s="260">
        <f t="shared" si="1"/>
        <v>16379</v>
      </c>
      <c r="H13" s="260">
        <f t="shared" si="2"/>
        <v>38219</v>
      </c>
      <c r="I13" s="260">
        <f>'성장 경험치 곡선'!F12</f>
        <v>221</v>
      </c>
      <c r="J13" s="262">
        <f t="shared" si="3"/>
        <v>173</v>
      </c>
      <c r="U13" s="409"/>
      <c r="V13" s="407"/>
      <c r="W13" s="407"/>
      <c r="X13" s="407"/>
      <c r="Y13" s="407"/>
      <c r="Z13" s="407"/>
      <c r="AA13" s="408"/>
    </row>
    <row r="14" spans="2:27" ht="16.5" customHeight="1">
      <c r="B14" s="211">
        <v>8</v>
      </c>
      <c r="C14" s="263">
        <f>'성장 경험치 곡선'!I13</f>
        <v>238572</v>
      </c>
      <c r="E14" s="208">
        <v>8</v>
      </c>
      <c r="F14" s="277">
        <f t="shared" si="0"/>
        <v>71572</v>
      </c>
      <c r="G14" s="260">
        <f t="shared" si="1"/>
        <v>21472</v>
      </c>
      <c r="H14" s="260">
        <f t="shared" si="2"/>
        <v>50100</v>
      </c>
      <c r="I14" s="260">
        <f>'성장 경험치 곡선'!F13</f>
        <v>282</v>
      </c>
      <c r="J14" s="262">
        <f t="shared" si="3"/>
        <v>178</v>
      </c>
      <c r="U14" s="287"/>
      <c r="V14" s="288"/>
      <c r="W14" s="288"/>
      <c r="X14" s="288"/>
      <c r="Y14" s="288"/>
      <c r="Z14" s="288"/>
      <c r="AA14" s="289"/>
    </row>
    <row r="15" spans="2:27" ht="17.25" customHeight="1">
      <c r="B15" s="211">
        <v>9</v>
      </c>
      <c r="C15" s="263">
        <f>'성장 경험치 곡선'!I14</f>
        <v>305896.5</v>
      </c>
      <c r="E15" s="208">
        <v>9</v>
      </c>
      <c r="F15" s="277">
        <f t="shared" si="0"/>
        <v>91769</v>
      </c>
      <c r="G15" s="260">
        <f t="shared" si="1"/>
        <v>27531</v>
      </c>
      <c r="H15" s="260">
        <f t="shared" si="2"/>
        <v>64238</v>
      </c>
      <c r="I15" s="260">
        <f>'성장 경험치 곡선'!F14</f>
        <v>351</v>
      </c>
      <c r="J15" s="262">
        <f t="shared" si="3"/>
        <v>183</v>
      </c>
      <c r="U15" s="406" t="s">
        <v>131</v>
      </c>
      <c r="V15" s="419"/>
      <c r="W15" s="419"/>
      <c r="X15" s="419"/>
      <c r="Y15" s="419"/>
      <c r="Z15" s="419"/>
      <c r="AA15" s="420"/>
    </row>
    <row r="16" spans="2:27" ht="17.25" customHeight="1">
      <c r="B16" s="216">
        <v>10</v>
      </c>
      <c r="C16" s="274">
        <f>'성장 경험치 곡선'!I15</f>
        <v>383400</v>
      </c>
      <c r="E16" s="284">
        <v>10</v>
      </c>
      <c r="F16" s="285">
        <f t="shared" si="0"/>
        <v>115020</v>
      </c>
      <c r="G16" s="285">
        <f t="shared" si="1"/>
        <v>34506</v>
      </c>
      <c r="H16" s="285">
        <f t="shared" si="2"/>
        <v>80514</v>
      </c>
      <c r="I16" s="285">
        <f>'성장 경험치 곡선'!F15</f>
        <v>426</v>
      </c>
      <c r="J16" s="286">
        <f t="shared" si="3"/>
        <v>189</v>
      </c>
      <c r="U16" s="406"/>
      <c r="V16" s="419"/>
      <c r="W16" s="419"/>
      <c r="X16" s="419"/>
      <c r="Y16" s="419"/>
      <c r="Z16" s="419"/>
      <c r="AA16" s="420"/>
    </row>
    <row r="17" spans="2:27" ht="17.25">
      <c r="B17" s="211">
        <v>11</v>
      </c>
      <c r="C17" s="263">
        <f>'성장 경험치 곡선'!I16</f>
        <v>473202</v>
      </c>
      <c r="E17" s="208">
        <v>11</v>
      </c>
      <c r="F17" s="277">
        <f t="shared" si="0"/>
        <v>141961</v>
      </c>
      <c r="G17" s="260">
        <f t="shared" si="1"/>
        <v>42588</v>
      </c>
      <c r="H17" s="260">
        <f t="shared" si="2"/>
        <v>99373</v>
      </c>
      <c r="I17" s="260">
        <f>'성장 경험치 곡선'!F16</f>
        <v>508</v>
      </c>
      <c r="J17" s="262">
        <f t="shared" si="3"/>
        <v>196</v>
      </c>
      <c r="U17" s="249"/>
      <c r="V17" s="250"/>
      <c r="W17" s="250"/>
      <c r="X17" s="250"/>
      <c r="Y17" s="250"/>
      <c r="Z17" s="250"/>
      <c r="AA17" s="251"/>
    </row>
    <row r="18" spans="2:27" ht="16.5" customHeight="1">
      <c r="B18" s="211">
        <v>12</v>
      </c>
      <c r="C18" s="263">
        <f>'성장 경험치 곡선'!I17</f>
        <v>575736</v>
      </c>
      <c r="E18" s="208">
        <v>12</v>
      </c>
      <c r="F18" s="277">
        <f t="shared" si="0"/>
        <v>172721</v>
      </c>
      <c r="G18" s="260">
        <f t="shared" si="1"/>
        <v>51816</v>
      </c>
      <c r="H18" s="260">
        <f t="shared" si="2"/>
        <v>120905</v>
      </c>
      <c r="I18" s="260">
        <f>'성장 경험치 곡선'!F17</f>
        <v>596</v>
      </c>
      <c r="J18" s="262">
        <f t="shared" si="3"/>
        <v>203</v>
      </c>
      <c r="U18" s="406" t="s">
        <v>132</v>
      </c>
      <c r="V18" s="419"/>
      <c r="W18" s="419"/>
      <c r="X18" s="419"/>
      <c r="Y18" s="419"/>
      <c r="Z18" s="419"/>
      <c r="AA18" s="420"/>
    </row>
    <row r="19" spans="2:27" ht="16.5" customHeight="1">
      <c r="B19" s="211">
        <v>13</v>
      </c>
      <c r="C19" s="263">
        <f>'성장 경험치 곡선'!I18</f>
        <v>693418.5</v>
      </c>
      <c r="E19" s="208">
        <v>13</v>
      </c>
      <c r="F19" s="277">
        <f t="shared" si="0"/>
        <v>208026</v>
      </c>
      <c r="G19" s="260">
        <f t="shared" si="1"/>
        <v>62408</v>
      </c>
      <c r="H19" s="260">
        <f t="shared" si="2"/>
        <v>145618</v>
      </c>
      <c r="I19" s="260">
        <f>'성장 경험치 곡선'!F18</f>
        <v>691</v>
      </c>
      <c r="J19" s="262">
        <f t="shared" si="3"/>
        <v>211</v>
      </c>
      <c r="U19" s="406"/>
      <c r="V19" s="419"/>
      <c r="W19" s="419"/>
      <c r="X19" s="419"/>
      <c r="Y19" s="419"/>
      <c r="Z19" s="419"/>
      <c r="AA19" s="420"/>
    </row>
    <row r="20" spans="2:27" ht="17.25">
      <c r="B20" s="211">
        <v>14</v>
      </c>
      <c r="C20" s="263">
        <f>'성장 경험치 곡선'!I19</f>
        <v>827892</v>
      </c>
      <c r="E20" s="208">
        <v>14</v>
      </c>
      <c r="F20" s="277">
        <f t="shared" si="0"/>
        <v>248368</v>
      </c>
      <c r="G20" s="260">
        <f t="shared" si="1"/>
        <v>74510</v>
      </c>
      <c r="H20" s="260">
        <f t="shared" si="2"/>
        <v>173858</v>
      </c>
      <c r="I20" s="260">
        <f>'성장 경험치 곡선'!F19</f>
        <v>793</v>
      </c>
      <c r="J20" s="262">
        <f t="shared" si="3"/>
        <v>219</v>
      </c>
      <c r="U20" s="249"/>
      <c r="V20" s="250"/>
      <c r="W20" s="250"/>
      <c r="X20" s="250"/>
      <c r="Y20" s="250"/>
      <c r="Z20" s="250"/>
      <c r="AA20" s="251"/>
    </row>
    <row r="21" spans="2:27" ht="17.25" customHeight="1">
      <c r="B21" s="211">
        <v>15</v>
      </c>
      <c r="C21" s="263">
        <f>'성장 경험치 곡선'!I20</f>
        <v>979837.5</v>
      </c>
      <c r="E21" s="208">
        <v>15</v>
      </c>
      <c r="F21" s="277">
        <f t="shared" si="0"/>
        <v>293951</v>
      </c>
      <c r="G21" s="260">
        <f t="shared" si="1"/>
        <v>88185</v>
      </c>
      <c r="H21" s="260">
        <f t="shared" si="2"/>
        <v>205766</v>
      </c>
      <c r="I21" s="260">
        <f>'성장 경험치 곡선'!F20</f>
        <v>901</v>
      </c>
      <c r="J21" s="262">
        <f t="shared" si="3"/>
        <v>228</v>
      </c>
      <c r="U21" s="406" t="s">
        <v>133</v>
      </c>
      <c r="V21" s="407"/>
      <c r="W21" s="407"/>
      <c r="X21" s="407"/>
      <c r="Y21" s="407"/>
      <c r="Z21" s="407"/>
      <c r="AA21" s="408"/>
    </row>
    <row r="22" spans="2:27" ht="17.25" customHeight="1">
      <c r="B22" s="211">
        <v>16</v>
      </c>
      <c r="C22" s="263">
        <f>'성장 경험치 곡선'!I21</f>
        <v>1151010</v>
      </c>
      <c r="E22" s="208">
        <v>16</v>
      </c>
      <c r="F22" s="277">
        <f t="shared" si="0"/>
        <v>345303</v>
      </c>
      <c r="G22" s="260">
        <f t="shared" si="1"/>
        <v>103591</v>
      </c>
      <c r="H22" s="260">
        <f t="shared" si="2"/>
        <v>241712</v>
      </c>
      <c r="I22" s="260">
        <f>'성장 경험치 곡선'!F21</f>
        <v>1015</v>
      </c>
      <c r="J22" s="262">
        <f t="shared" si="3"/>
        <v>238</v>
      </c>
      <c r="U22" s="409"/>
      <c r="V22" s="407"/>
      <c r="W22" s="407"/>
      <c r="X22" s="407"/>
      <c r="Y22" s="407"/>
      <c r="Z22" s="407"/>
      <c r="AA22" s="408"/>
    </row>
    <row r="23" spans="2:27" ht="18" thickBot="1">
      <c r="B23" s="211">
        <v>17</v>
      </c>
      <c r="C23" s="263">
        <f>'성장 경험치 곡선'!I22</f>
        <v>1343272.5</v>
      </c>
      <c r="E23" s="208">
        <v>17</v>
      </c>
      <c r="F23" s="277">
        <f t="shared" si="0"/>
        <v>402982</v>
      </c>
      <c r="G23" s="260">
        <f t="shared" si="1"/>
        <v>120895</v>
      </c>
      <c r="H23" s="260">
        <f t="shared" si="2"/>
        <v>282087</v>
      </c>
      <c r="I23" s="260">
        <f>'성장 경험치 곡선'!F22</f>
        <v>1135</v>
      </c>
      <c r="J23" s="262">
        <f t="shared" si="3"/>
        <v>249</v>
      </c>
      <c r="U23" s="433"/>
      <c r="V23" s="434"/>
      <c r="W23" s="434"/>
      <c r="X23" s="434"/>
      <c r="Y23" s="434"/>
      <c r="Z23" s="434"/>
      <c r="AA23" s="435"/>
    </row>
    <row r="24" spans="2:27" ht="17.25">
      <c r="B24" s="211">
        <v>18</v>
      </c>
      <c r="C24" s="263">
        <f>'성장 경험치 곡선'!I23</f>
        <v>1558596</v>
      </c>
      <c r="E24" s="208">
        <v>18</v>
      </c>
      <c r="F24" s="277">
        <f t="shared" si="0"/>
        <v>467579</v>
      </c>
      <c r="G24" s="260">
        <f t="shared" si="1"/>
        <v>140274</v>
      </c>
      <c r="H24" s="260">
        <f t="shared" si="2"/>
        <v>327305</v>
      </c>
      <c r="I24" s="260">
        <f>'성장 경험치 곡선'!F23</f>
        <v>1261</v>
      </c>
      <c r="J24" s="262">
        <f t="shared" si="3"/>
        <v>260</v>
      </c>
      <c r="U24" s="290"/>
      <c r="V24" s="290"/>
      <c r="W24" s="290"/>
      <c r="X24" s="290"/>
      <c r="Y24" s="290"/>
      <c r="Z24" s="290"/>
      <c r="AA24" s="290"/>
    </row>
    <row r="25" spans="2:27" ht="16.5" customHeight="1">
      <c r="B25" s="211">
        <v>19</v>
      </c>
      <c r="C25" s="263">
        <f>'성장 경험치 곡선'!I24</f>
        <v>1800351</v>
      </c>
      <c r="E25" s="208">
        <v>19</v>
      </c>
      <c r="F25" s="277">
        <f t="shared" si="0"/>
        <v>540105</v>
      </c>
      <c r="G25" s="260">
        <f t="shared" si="1"/>
        <v>162032</v>
      </c>
      <c r="H25" s="260">
        <f t="shared" si="2"/>
        <v>378074</v>
      </c>
      <c r="I25" s="260">
        <f>'성장 경험치 곡선'!F24</f>
        <v>1394</v>
      </c>
      <c r="J25" s="262">
        <f t="shared" si="3"/>
        <v>271</v>
      </c>
      <c r="U25" s="291"/>
      <c r="V25" s="291"/>
      <c r="W25" s="291"/>
      <c r="X25" s="291"/>
      <c r="Y25" s="291"/>
      <c r="Z25" s="291"/>
      <c r="AA25" s="291"/>
    </row>
    <row r="26" spans="2:27" ht="16.5" customHeight="1">
      <c r="B26" s="216">
        <v>20</v>
      </c>
      <c r="C26" s="274">
        <f>'성장 경험치 곡선'!I25</f>
        <v>2068200</v>
      </c>
      <c r="E26" s="284">
        <v>20</v>
      </c>
      <c r="F26" s="285">
        <f t="shared" si="0"/>
        <v>620460</v>
      </c>
      <c r="G26" s="285">
        <f t="shared" si="1"/>
        <v>186138</v>
      </c>
      <c r="H26" s="285">
        <f t="shared" si="2"/>
        <v>434322</v>
      </c>
      <c r="I26" s="285">
        <f>'성장 경험치 곡선'!F25</f>
        <v>1532</v>
      </c>
      <c r="J26" s="286">
        <f t="shared" si="3"/>
        <v>284</v>
      </c>
      <c r="U26" s="291"/>
      <c r="V26" s="291"/>
      <c r="W26" s="291"/>
      <c r="X26" s="291"/>
      <c r="Y26" s="291"/>
      <c r="Z26" s="291"/>
      <c r="AA26" s="291"/>
    </row>
    <row r="27" spans="2:27">
      <c r="B27" s="211">
        <v>21</v>
      </c>
      <c r="C27" s="263">
        <f>'성장 경험치 곡선'!I26</f>
        <v>2367085.5</v>
      </c>
      <c r="E27" s="208">
        <v>21</v>
      </c>
      <c r="F27" s="277">
        <f t="shared" si="0"/>
        <v>710126</v>
      </c>
      <c r="G27" s="260">
        <f t="shared" si="1"/>
        <v>213038</v>
      </c>
      <c r="H27" s="260">
        <f t="shared" si="2"/>
        <v>497088</v>
      </c>
      <c r="I27" s="260">
        <f>'성장 경험치 곡선'!F26</f>
        <v>1677</v>
      </c>
      <c r="J27" s="262">
        <f t="shared" si="3"/>
        <v>296</v>
      </c>
      <c r="U27" s="56"/>
      <c r="V27" s="56"/>
      <c r="W27" s="56"/>
      <c r="X27" s="56"/>
      <c r="Y27" s="56"/>
      <c r="Z27" s="56"/>
      <c r="AA27" s="56"/>
    </row>
    <row r="28" spans="2:27">
      <c r="B28" s="211">
        <v>22</v>
      </c>
      <c r="C28" s="263">
        <f>'성장 경험치 곡선'!I27</f>
        <v>2698128</v>
      </c>
      <c r="E28" s="208">
        <v>22</v>
      </c>
      <c r="F28" s="277">
        <f t="shared" si="0"/>
        <v>809438</v>
      </c>
      <c r="G28" s="260">
        <f t="shared" si="1"/>
        <v>242831</v>
      </c>
      <c r="H28" s="260">
        <f t="shared" si="2"/>
        <v>566607</v>
      </c>
      <c r="I28" s="260">
        <f>'성장 경험치 곡선'!F27</f>
        <v>1828</v>
      </c>
      <c r="J28" s="262">
        <f t="shared" si="3"/>
        <v>310</v>
      </c>
    </row>
    <row r="29" spans="2:27">
      <c r="B29" s="211">
        <v>23</v>
      </c>
      <c r="C29" s="263">
        <f>'성장 경험치 곡선'!I28</f>
        <v>3062304</v>
      </c>
      <c r="E29" s="208">
        <v>23</v>
      </c>
      <c r="F29" s="277">
        <f t="shared" si="0"/>
        <v>918691</v>
      </c>
      <c r="G29" s="260">
        <f t="shared" si="1"/>
        <v>275607</v>
      </c>
      <c r="H29" s="260">
        <f t="shared" si="2"/>
        <v>643084</v>
      </c>
      <c r="I29" s="260">
        <f>'성장 경험치 곡선'!F28</f>
        <v>1984</v>
      </c>
      <c r="J29" s="262">
        <f t="shared" si="3"/>
        <v>324</v>
      </c>
    </row>
    <row r="30" spans="2:27">
      <c r="B30" s="211">
        <v>24</v>
      </c>
      <c r="C30" s="263">
        <f>'성장 경험치 곡선'!I29</f>
        <v>3465258</v>
      </c>
      <c r="E30" s="208">
        <v>24</v>
      </c>
      <c r="F30" s="277">
        <f t="shared" si="0"/>
        <v>1039577</v>
      </c>
      <c r="G30" s="260">
        <f t="shared" si="1"/>
        <v>311873</v>
      </c>
      <c r="H30" s="260">
        <f t="shared" si="2"/>
        <v>727704</v>
      </c>
      <c r="I30" s="260">
        <f>'성장 경험치 곡선'!F29</f>
        <v>2147</v>
      </c>
      <c r="J30" s="262">
        <f t="shared" si="3"/>
        <v>339</v>
      </c>
    </row>
    <row r="31" spans="2:27">
      <c r="B31" s="211">
        <v>25</v>
      </c>
      <c r="C31" s="263">
        <f>'성장 경험치 곡선'!I30</f>
        <v>3906562.5</v>
      </c>
      <c r="E31" s="208">
        <v>25</v>
      </c>
      <c r="F31" s="277">
        <f t="shared" si="0"/>
        <v>1171969</v>
      </c>
      <c r="G31" s="260">
        <f t="shared" si="1"/>
        <v>351591</v>
      </c>
      <c r="H31" s="260">
        <f t="shared" si="2"/>
        <v>820378</v>
      </c>
      <c r="I31" s="260">
        <f>'성장 경험치 곡선'!F30</f>
        <v>2315</v>
      </c>
      <c r="J31" s="262">
        <f t="shared" si="3"/>
        <v>354</v>
      </c>
    </row>
    <row r="32" spans="2:27">
      <c r="B32" s="211">
        <v>26</v>
      </c>
      <c r="C32" s="263">
        <f>'성장 경험치 곡선'!I31</f>
        <v>4390596</v>
      </c>
      <c r="E32" s="208">
        <v>26</v>
      </c>
      <c r="F32" s="277">
        <f t="shared" si="0"/>
        <v>1317179</v>
      </c>
      <c r="G32" s="260">
        <f t="shared" si="1"/>
        <v>395154</v>
      </c>
      <c r="H32" s="260">
        <f t="shared" si="2"/>
        <v>922025</v>
      </c>
      <c r="I32" s="260">
        <f>'성장 경험치 곡선'!F31</f>
        <v>2489</v>
      </c>
      <c r="J32" s="262">
        <f t="shared" si="3"/>
        <v>370</v>
      </c>
    </row>
    <row r="33" spans="2:10">
      <c r="B33" s="211">
        <v>27</v>
      </c>
      <c r="C33" s="263">
        <f>'성장 경험치 곡선'!I32</f>
        <v>4920301.5</v>
      </c>
      <c r="E33" s="208">
        <v>27</v>
      </c>
      <c r="F33" s="277">
        <f t="shared" si="0"/>
        <v>1476090</v>
      </c>
      <c r="G33" s="260">
        <f t="shared" si="1"/>
        <v>442827</v>
      </c>
      <c r="H33" s="260">
        <f t="shared" si="2"/>
        <v>1033263</v>
      </c>
      <c r="I33" s="260">
        <f>'성장 경험치 곡선'!F32</f>
        <v>2669</v>
      </c>
      <c r="J33" s="262">
        <f t="shared" si="3"/>
        <v>387</v>
      </c>
    </row>
    <row r="34" spans="2:10">
      <c r="B34" s="211">
        <v>28</v>
      </c>
      <c r="C34" s="263">
        <f>'성장 경험치 곡선'!I33</f>
        <v>5498730</v>
      </c>
      <c r="E34" s="208">
        <v>28</v>
      </c>
      <c r="F34" s="277">
        <f t="shared" si="0"/>
        <v>1649619</v>
      </c>
      <c r="G34" s="260">
        <f t="shared" si="1"/>
        <v>494886</v>
      </c>
      <c r="H34" s="260">
        <f t="shared" si="2"/>
        <v>1154733</v>
      </c>
      <c r="I34" s="260">
        <f>'성장 경험치 곡선'!F33</f>
        <v>2855</v>
      </c>
      <c r="J34" s="262">
        <f t="shared" si="3"/>
        <v>404</v>
      </c>
    </row>
    <row r="35" spans="2:10">
      <c r="B35" s="211">
        <v>29</v>
      </c>
      <c r="C35" s="263">
        <f>'성장 경험치 곡선'!I34</f>
        <v>6127029</v>
      </c>
      <c r="E35" s="208">
        <v>29</v>
      </c>
      <c r="F35" s="277">
        <f t="shared" si="0"/>
        <v>1838109</v>
      </c>
      <c r="G35" s="260">
        <f t="shared" si="1"/>
        <v>551433</v>
      </c>
      <c r="H35" s="260">
        <f t="shared" si="2"/>
        <v>1286676</v>
      </c>
      <c r="I35" s="260">
        <f>'성장 경험치 곡선'!F34</f>
        <v>3046</v>
      </c>
      <c r="J35" s="262">
        <f t="shared" si="3"/>
        <v>422</v>
      </c>
    </row>
    <row r="36" spans="2:10">
      <c r="B36" s="216">
        <v>30</v>
      </c>
      <c r="C36" s="274">
        <f>'성장 경험치 곡선'!I35</f>
        <v>6810300</v>
      </c>
      <c r="E36" s="284">
        <v>30</v>
      </c>
      <c r="F36" s="285">
        <f t="shared" si="0"/>
        <v>2043090</v>
      </c>
      <c r="G36" s="285">
        <f t="shared" si="1"/>
        <v>612927</v>
      </c>
      <c r="H36" s="285">
        <f t="shared" si="2"/>
        <v>1430163</v>
      </c>
      <c r="I36" s="285">
        <f>'성장 경험치 곡선'!F35</f>
        <v>3243</v>
      </c>
      <c r="J36" s="286">
        <f t="shared" si="3"/>
        <v>441</v>
      </c>
    </row>
    <row r="37" spans="2:10">
      <c r="B37" s="211">
        <v>31</v>
      </c>
      <c r="C37" s="263">
        <f>'성장 경험치 곡선'!I36</f>
        <v>7551909</v>
      </c>
      <c r="E37" s="208">
        <v>31</v>
      </c>
      <c r="F37" s="277">
        <f t="shared" si="0"/>
        <v>2265573</v>
      </c>
      <c r="G37" s="260">
        <f t="shared" si="1"/>
        <v>679672</v>
      </c>
      <c r="H37" s="260">
        <f t="shared" si="2"/>
        <v>1585901</v>
      </c>
      <c r="I37" s="260">
        <f>'성장 경험치 곡선'!F36</f>
        <v>3446</v>
      </c>
      <c r="J37" s="262">
        <f t="shared" si="3"/>
        <v>460</v>
      </c>
    </row>
    <row r="38" spans="2:10">
      <c r="B38" s="211">
        <v>32</v>
      </c>
      <c r="C38" s="263">
        <f>'성장 경험치 곡선'!I37</f>
        <v>8353044</v>
      </c>
      <c r="E38" s="208">
        <v>32</v>
      </c>
      <c r="F38" s="277">
        <f t="shared" si="0"/>
        <v>2505913</v>
      </c>
      <c r="G38" s="260">
        <f t="shared" si="1"/>
        <v>751774</v>
      </c>
      <c r="H38" s="260">
        <f t="shared" si="2"/>
        <v>1754139</v>
      </c>
      <c r="I38" s="260">
        <f>'성장 경험치 곡선'!F37</f>
        <v>3654</v>
      </c>
      <c r="J38" s="262">
        <f t="shared" si="3"/>
        <v>480</v>
      </c>
    </row>
    <row r="39" spans="2:10">
      <c r="B39" s="211">
        <v>33</v>
      </c>
      <c r="C39" s="263">
        <f>'성장 경험치 곡선'!I38</f>
        <v>9219378</v>
      </c>
      <c r="E39" s="208">
        <v>33</v>
      </c>
      <c r="F39" s="277">
        <f t="shared" si="0"/>
        <v>2765813</v>
      </c>
      <c r="G39" s="260">
        <f t="shared" si="1"/>
        <v>829744</v>
      </c>
      <c r="H39" s="260">
        <f t="shared" si="2"/>
        <v>1936069</v>
      </c>
      <c r="I39" s="260">
        <f>'성장 경험치 곡선'!F38</f>
        <v>3868</v>
      </c>
      <c r="J39" s="262">
        <f t="shared" si="3"/>
        <v>501</v>
      </c>
    </row>
    <row r="40" spans="2:10">
      <c r="B40" s="211">
        <v>34</v>
      </c>
      <c r="C40" s="263">
        <f>'성장 경험치 곡선'!I39</f>
        <v>10154592</v>
      </c>
      <c r="E40" s="208">
        <v>34</v>
      </c>
      <c r="F40" s="277">
        <f t="shared" si="0"/>
        <v>3046378</v>
      </c>
      <c r="G40" s="260">
        <f t="shared" si="1"/>
        <v>913913</v>
      </c>
      <c r="H40" s="260">
        <f t="shared" si="2"/>
        <v>2132465</v>
      </c>
      <c r="I40" s="260">
        <f>'성장 경험치 곡선'!F39</f>
        <v>4088</v>
      </c>
      <c r="J40" s="262">
        <f t="shared" si="3"/>
        <v>522</v>
      </c>
    </row>
    <row r="41" spans="2:10">
      <c r="B41" s="211">
        <v>35</v>
      </c>
      <c r="C41" s="263">
        <f>'성장 경험치 곡선'!I40</f>
        <v>11159887.5</v>
      </c>
      <c r="E41" s="208">
        <v>35</v>
      </c>
      <c r="F41" s="277">
        <f t="shared" si="0"/>
        <v>3347966</v>
      </c>
      <c r="G41" s="260">
        <f t="shared" si="1"/>
        <v>1004390</v>
      </c>
      <c r="H41" s="260">
        <f t="shared" si="2"/>
        <v>2343576</v>
      </c>
      <c r="I41" s="260">
        <f>'성장 경험치 곡선'!F40</f>
        <v>4313</v>
      </c>
      <c r="J41" s="262">
        <f t="shared" si="3"/>
        <v>543</v>
      </c>
    </row>
    <row r="42" spans="2:10">
      <c r="B42" s="211">
        <v>36</v>
      </c>
      <c r="C42" s="263">
        <f>'성장 경험치 곡선'!I41</f>
        <v>12241536</v>
      </c>
      <c r="E42" s="208">
        <v>36</v>
      </c>
      <c r="F42" s="277">
        <f t="shared" si="0"/>
        <v>3672461</v>
      </c>
      <c r="G42" s="260">
        <f t="shared" si="1"/>
        <v>1101738</v>
      </c>
      <c r="H42" s="260">
        <f t="shared" si="2"/>
        <v>2570723</v>
      </c>
      <c r="I42" s="260">
        <f>'성장 경험치 곡선'!F41</f>
        <v>4544</v>
      </c>
      <c r="J42" s="262">
        <f t="shared" si="3"/>
        <v>566</v>
      </c>
    </row>
    <row r="43" spans="2:10">
      <c r="B43" s="211">
        <v>37</v>
      </c>
      <c r="C43" s="263">
        <f>'성장 경험치 곡선'!I42</f>
        <v>13400730</v>
      </c>
      <c r="E43" s="208">
        <v>37</v>
      </c>
      <c r="F43" s="277">
        <f t="shared" si="0"/>
        <v>4020219</v>
      </c>
      <c r="G43" s="260">
        <f t="shared" si="1"/>
        <v>1206066</v>
      </c>
      <c r="H43" s="260">
        <f t="shared" si="2"/>
        <v>2814153</v>
      </c>
      <c r="I43" s="260">
        <f>'성장 경험치 곡선'!F42</f>
        <v>4780</v>
      </c>
      <c r="J43" s="262">
        <f t="shared" si="3"/>
        <v>589</v>
      </c>
    </row>
    <row r="44" spans="2:10">
      <c r="B44" s="211">
        <v>38</v>
      </c>
      <c r="C44" s="263">
        <f>'성장 경험치 곡선'!I43</f>
        <v>14644152</v>
      </c>
      <c r="E44" s="208">
        <v>38</v>
      </c>
      <c r="F44" s="277">
        <f t="shared" si="0"/>
        <v>4393246</v>
      </c>
      <c r="G44" s="260">
        <f t="shared" si="1"/>
        <v>1317974</v>
      </c>
      <c r="H44" s="260">
        <f t="shared" si="2"/>
        <v>3075272</v>
      </c>
      <c r="I44" s="260">
        <f>'성장 경험치 곡선'!F43</f>
        <v>5022</v>
      </c>
      <c r="J44" s="262">
        <f t="shared" si="3"/>
        <v>612</v>
      </c>
    </row>
    <row r="45" spans="2:10">
      <c r="B45" s="211">
        <v>39</v>
      </c>
      <c r="C45" s="263">
        <f>'성장 경험치 곡선'!I44</f>
        <v>15972973.5</v>
      </c>
      <c r="E45" s="208">
        <v>39</v>
      </c>
      <c r="F45" s="277">
        <f t="shared" si="0"/>
        <v>4791892</v>
      </c>
      <c r="G45" s="260">
        <f t="shared" si="1"/>
        <v>1437568</v>
      </c>
      <c r="H45" s="260">
        <f t="shared" si="2"/>
        <v>3354324</v>
      </c>
      <c r="I45" s="260">
        <f>'성장 경험치 곡선'!F44</f>
        <v>5269</v>
      </c>
      <c r="J45" s="262">
        <f t="shared" si="3"/>
        <v>637</v>
      </c>
    </row>
    <row r="46" spans="2:10">
      <c r="B46" s="216">
        <v>40</v>
      </c>
      <c r="C46" s="274">
        <f>'성장 경험치 곡선'!I45</f>
        <v>17391150</v>
      </c>
      <c r="E46" s="284">
        <v>40</v>
      </c>
      <c r="F46" s="285">
        <f t="shared" si="0"/>
        <v>5217345</v>
      </c>
      <c r="G46" s="285">
        <f t="shared" si="1"/>
        <v>1565204</v>
      </c>
      <c r="H46" s="285">
        <f t="shared" si="2"/>
        <v>3652142</v>
      </c>
      <c r="I46" s="285">
        <f>'성장 경험치 곡선'!F45</f>
        <v>5521</v>
      </c>
      <c r="J46" s="286">
        <f t="shared" si="3"/>
        <v>662</v>
      </c>
    </row>
    <row r="47" spans="2:10">
      <c r="B47" s="211">
        <v>41</v>
      </c>
      <c r="C47" s="263">
        <f>'성장 경험치 곡선'!I46</f>
        <v>18909270</v>
      </c>
      <c r="E47" s="208">
        <v>41</v>
      </c>
      <c r="F47" s="277">
        <f t="shared" si="0"/>
        <v>5672781</v>
      </c>
      <c r="G47" s="260">
        <f t="shared" si="1"/>
        <v>1701834</v>
      </c>
      <c r="H47" s="260">
        <f t="shared" si="2"/>
        <v>3970947</v>
      </c>
      <c r="I47" s="260">
        <f>'성장 경험치 곡선'!F46</f>
        <v>5780</v>
      </c>
      <c r="J47" s="262">
        <f t="shared" si="3"/>
        <v>687</v>
      </c>
    </row>
    <row r="48" spans="2:10">
      <c r="B48" s="211">
        <v>42</v>
      </c>
      <c r="C48" s="263">
        <f>'성장 경험치 곡선'!I47</f>
        <v>20522028</v>
      </c>
      <c r="E48" s="208">
        <v>42</v>
      </c>
      <c r="F48" s="277">
        <f t="shared" si="0"/>
        <v>6156608</v>
      </c>
      <c r="G48" s="260">
        <f t="shared" si="1"/>
        <v>1846982</v>
      </c>
      <c r="H48" s="260">
        <f t="shared" si="2"/>
        <v>4309626</v>
      </c>
      <c r="I48" s="260">
        <f>'성장 경험치 곡선'!F47</f>
        <v>6043</v>
      </c>
      <c r="J48" s="262">
        <f t="shared" si="3"/>
        <v>713</v>
      </c>
    </row>
    <row r="49" spans="2:10">
      <c r="B49" s="211">
        <v>43</v>
      </c>
      <c r="C49" s="263">
        <f>'성장 경험치 곡선'!I48</f>
        <v>22240332</v>
      </c>
      <c r="E49" s="208">
        <v>43</v>
      </c>
      <c r="F49" s="277">
        <f t="shared" si="0"/>
        <v>6672100</v>
      </c>
      <c r="G49" s="260">
        <f t="shared" si="1"/>
        <v>2001630</v>
      </c>
      <c r="H49" s="260">
        <f t="shared" si="2"/>
        <v>4670470</v>
      </c>
      <c r="I49" s="260">
        <f>'성장 경험치 곡선'!F48</f>
        <v>6312</v>
      </c>
      <c r="J49" s="262">
        <f t="shared" si="3"/>
        <v>740</v>
      </c>
    </row>
    <row r="50" spans="2:10">
      <c r="B50" s="211">
        <v>44</v>
      </c>
      <c r="C50" s="263">
        <f>'성장 경험치 곡선'!I49</f>
        <v>24065244</v>
      </c>
      <c r="E50" s="208">
        <v>44</v>
      </c>
      <c r="F50" s="277">
        <f t="shared" si="0"/>
        <v>7219573</v>
      </c>
      <c r="G50" s="260">
        <f t="shared" si="1"/>
        <v>2165872</v>
      </c>
      <c r="H50" s="260">
        <f t="shared" si="2"/>
        <v>5053701</v>
      </c>
      <c r="I50" s="260">
        <f>'성장 경험치 곡선'!F49</f>
        <v>6586</v>
      </c>
      <c r="J50" s="262">
        <f t="shared" si="3"/>
        <v>767</v>
      </c>
    </row>
    <row r="51" spans="2:10">
      <c r="B51" s="211">
        <v>45</v>
      </c>
      <c r="C51" s="263">
        <f>'성장 경험치 곡선'!I50</f>
        <v>26001187.5</v>
      </c>
      <c r="E51" s="208">
        <v>45</v>
      </c>
      <c r="F51" s="277">
        <f t="shared" si="0"/>
        <v>7800356</v>
      </c>
      <c r="G51" s="260">
        <f t="shared" si="1"/>
        <v>2340107</v>
      </c>
      <c r="H51" s="260">
        <f t="shared" si="2"/>
        <v>5460249</v>
      </c>
      <c r="I51" s="260">
        <f>'성장 경험치 곡선'!F50</f>
        <v>6865</v>
      </c>
      <c r="J51" s="262">
        <f t="shared" si="3"/>
        <v>795</v>
      </c>
    </row>
    <row r="52" spans="2:10">
      <c r="B52" s="211">
        <v>46</v>
      </c>
      <c r="C52" s="263">
        <f>'성장 경험치 곡선'!I51</f>
        <v>28056600</v>
      </c>
      <c r="E52" s="208">
        <v>46</v>
      </c>
      <c r="F52" s="277">
        <f t="shared" si="0"/>
        <v>8416980</v>
      </c>
      <c r="G52" s="260">
        <f t="shared" si="1"/>
        <v>2525094</v>
      </c>
      <c r="H52" s="260">
        <f t="shared" si="2"/>
        <v>5891886</v>
      </c>
      <c r="I52" s="260">
        <f>'성장 경험치 곡선'!F51</f>
        <v>7150</v>
      </c>
      <c r="J52" s="262">
        <f t="shared" si="3"/>
        <v>824</v>
      </c>
    </row>
    <row r="53" spans="2:10">
      <c r="B53" s="211">
        <v>47</v>
      </c>
      <c r="C53" s="263">
        <f>'성장 경험치 곡선'!I52</f>
        <v>30236503.5</v>
      </c>
      <c r="E53" s="208">
        <v>47</v>
      </c>
      <c r="F53" s="277">
        <f t="shared" si="0"/>
        <v>9070951</v>
      </c>
      <c r="G53" s="260">
        <f t="shared" si="1"/>
        <v>2721285</v>
      </c>
      <c r="H53" s="260">
        <f t="shared" si="2"/>
        <v>6349666</v>
      </c>
      <c r="I53" s="260">
        <f>'성장 경험치 곡선'!F52</f>
        <v>7441</v>
      </c>
      <c r="J53" s="262">
        <f t="shared" si="3"/>
        <v>853</v>
      </c>
    </row>
    <row r="54" spans="2:10">
      <c r="B54" s="211">
        <v>48</v>
      </c>
      <c r="C54" s="263">
        <f>'성장 경험치 곡선'!I53</f>
        <v>32537616</v>
      </c>
      <c r="E54" s="208">
        <v>48</v>
      </c>
      <c r="F54" s="277">
        <f t="shared" si="0"/>
        <v>9761285</v>
      </c>
      <c r="G54" s="260">
        <f t="shared" si="1"/>
        <v>2928386</v>
      </c>
      <c r="H54" s="260">
        <f t="shared" si="2"/>
        <v>6832900</v>
      </c>
      <c r="I54" s="260">
        <f>'성장 경험치 곡선'!F53</f>
        <v>7736</v>
      </c>
      <c r="J54" s="262">
        <f t="shared" si="3"/>
        <v>883</v>
      </c>
    </row>
    <row r="55" spans="2:10">
      <c r="B55" s="211">
        <v>49</v>
      </c>
      <c r="C55" s="263">
        <f>'성장 경험치 곡선'!I54</f>
        <v>34973005.5</v>
      </c>
      <c r="E55" s="208">
        <v>49</v>
      </c>
      <c r="F55" s="277">
        <f t="shared" si="0"/>
        <v>10491902</v>
      </c>
      <c r="G55" s="260">
        <f t="shared" si="1"/>
        <v>3147571</v>
      </c>
      <c r="H55" s="260">
        <f t="shared" si="2"/>
        <v>7344331</v>
      </c>
      <c r="I55" s="260">
        <f>'성장 경험치 곡선'!F54</f>
        <v>8037</v>
      </c>
      <c r="J55" s="262">
        <f t="shared" si="3"/>
        <v>914</v>
      </c>
    </row>
    <row r="56" spans="2:10">
      <c r="B56" s="216">
        <v>50</v>
      </c>
      <c r="C56" s="274">
        <f>'성장 경험치 곡선'!I55</f>
        <v>37543500</v>
      </c>
      <c r="E56" s="284">
        <v>50</v>
      </c>
      <c r="F56" s="285">
        <f t="shared" si="0"/>
        <v>11263050</v>
      </c>
      <c r="G56" s="285">
        <f t="shared" si="1"/>
        <v>3378915</v>
      </c>
      <c r="H56" s="285">
        <f t="shared" si="2"/>
        <v>7884135</v>
      </c>
      <c r="I56" s="285">
        <f>'성장 경험치 곡선'!F55</f>
        <v>8343</v>
      </c>
      <c r="J56" s="286">
        <f t="shared" si="3"/>
        <v>945</v>
      </c>
    </row>
    <row r="57" spans="2:10">
      <c r="B57" s="211">
        <v>51</v>
      </c>
      <c r="C57" s="263">
        <f>'성장 경험치 곡선'!I56</f>
        <v>40254081</v>
      </c>
      <c r="E57" s="208">
        <v>51</v>
      </c>
      <c r="F57" s="277">
        <f t="shared" si="0"/>
        <v>12076224</v>
      </c>
      <c r="G57" s="260">
        <f t="shared" si="1"/>
        <v>3622867</v>
      </c>
      <c r="H57" s="260">
        <f t="shared" si="2"/>
        <v>8453357</v>
      </c>
      <c r="I57" s="260">
        <f>'성장 경험치 곡선'!F56</f>
        <v>8654</v>
      </c>
      <c r="J57" s="262">
        <f t="shared" si="3"/>
        <v>977</v>
      </c>
    </row>
    <row r="58" spans="2:10">
      <c r="B58" s="211">
        <v>52</v>
      </c>
      <c r="C58" s="263">
        <f>'성장 경험치 곡선'!I57</f>
        <v>43109820</v>
      </c>
      <c r="E58" s="208">
        <v>52</v>
      </c>
      <c r="F58" s="277">
        <f t="shared" si="0"/>
        <v>12932946</v>
      </c>
      <c r="G58" s="260">
        <f t="shared" si="1"/>
        <v>3879884</v>
      </c>
      <c r="H58" s="260">
        <f t="shared" si="2"/>
        <v>9053062</v>
      </c>
      <c r="I58" s="260">
        <f>'성장 경험치 곡선'!F57</f>
        <v>8970</v>
      </c>
      <c r="J58" s="262">
        <f t="shared" si="3"/>
        <v>1009</v>
      </c>
    </row>
    <row r="59" spans="2:10">
      <c r="B59" s="211">
        <v>53</v>
      </c>
      <c r="C59" s="263">
        <f>'성장 경험치 곡선'!I58</f>
        <v>46120842</v>
      </c>
      <c r="E59" s="208">
        <v>53</v>
      </c>
      <c r="F59" s="277">
        <f t="shared" si="0"/>
        <v>13836253</v>
      </c>
      <c r="G59" s="260">
        <f t="shared" si="1"/>
        <v>4150876</v>
      </c>
      <c r="H59" s="260">
        <f t="shared" si="2"/>
        <v>9685377</v>
      </c>
      <c r="I59" s="260">
        <f>'성장 경험치 곡선'!F58</f>
        <v>9292</v>
      </c>
      <c r="J59" s="262">
        <f t="shared" si="3"/>
        <v>1042</v>
      </c>
    </row>
    <row r="60" spans="2:10">
      <c r="B60" s="211">
        <v>54</v>
      </c>
      <c r="C60" s="263">
        <f>'성장 경험치 곡선'!I59</f>
        <v>49287756</v>
      </c>
      <c r="E60" s="208">
        <v>54</v>
      </c>
      <c r="F60" s="277">
        <f t="shared" si="0"/>
        <v>14786327</v>
      </c>
      <c r="G60" s="260">
        <f t="shared" si="1"/>
        <v>4435898</v>
      </c>
      <c r="H60" s="260">
        <f t="shared" si="2"/>
        <v>10350429</v>
      </c>
      <c r="I60" s="260">
        <f>'성장 경험치 곡선'!F59</f>
        <v>9619</v>
      </c>
      <c r="J60" s="262">
        <f t="shared" si="3"/>
        <v>1076</v>
      </c>
    </row>
    <row r="61" spans="2:10">
      <c r="B61" s="211">
        <v>55</v>
      </c>
      <c r="C61" s="263">
        <f>'성장 경험치 곡선'!I60</f>
        <v>52615912.5</v>
      </c>
      <c r="E61" s="208">
        <v>55</v>
      </c>
      <c r="F61" s="277">
        <f t="shared" si="0"/>
        <v>15784774</v>
      </c>
      <c r="G61" s="260">
        <f t="shared" si="1"/>
        <v>4735432</v>
      </c>
      <c r="H61" s="260">
        <f t="shared" si="2"/>
        <v>11049342</v>
      </c>
      <c r="I61" s="260">
        <f>'성장 경험치 곡선'!F60</f>
        <v>9951</v>
      </c>
      <c r="J61" s="262">
        <f t="shared" si="3"/>
        <v>1110</v>
      </c>
    </row>
    <row r="62" spans="2:10">
      <c r="B62" s="211">
        <v>56</v>
      </c>
      <c r="C62" s="263">
        <f>'성장 경험치 곡선'!I61</f>
        <v>56110752</v>
      </c>
      <c r="E62" s="208">
        <v>56</v>
      </c>
      <c r="F62" s="277">
        <f t="shared" si="0"/>
        <v>16833226</v>
      </c>
      <c r="G62" s="260">
        <f t="shared" si="1"/>
        <v>5049968</v>
      </c>
      <c r="H62" s="260">
        <f t="shared" si="2"/>
        <v>11783258</v>
      </c>
      <c r="I62" s="260">
        <f>'성장 경험치 곡선'!F61</f>
        <v>10288</v>
      </c>
      <c r="J62" s="262">
        <f t="shared" si="3"/>
        <v>1145</v>
      </c>
    </row>
    <row r="63" spans="2:10">
      <c r="B63" s="211">
        <v>57</v>
      </c>
      <c r="C63" s="263">
        <f>'성장 경험치 곡선'!I62</f>
        <v>59783428.5</v>
      </c>
      <c r="E63" s="208">
        <v>57</v>
      </c>
      <c r="F63" s="277">
        <f t="shared" si="0"/>
        <v>17935029</v>
      </c>
      <c r="G63" s="260">
        <f t="shared" si="1"/>
        <v>5380509</v>
      </c>
      <c r="H63" s="260">
        <f t="shared" si="2"/>
        <v>12554520</v>
      </c>
      <c r="I63" s="260">
        <f>'성장 경험치 곡선'!F62</f>
        <v>10631</v>
      </c>
      <c r="J63" s="262">
        <f t="shared" si="3"/>
        <v>1181</v>
      </c>
    </row>
    <row r="64" spans="2:10">
      <c r="B64" s="211">
        <v>58</v>
      </c>
      <c r="C64" s="263">
        <f>'성장 경험치 곡선'!I63</f>
        <v>63628488</v>
      </c>
      <c r="E64" s="208">
        <v>58</v>
      </c>
      <c r="F64" s="277">
        <f t="shared" si="0"/>
        <v>19088546</v>
      </c>
      <c r="G64" s="260">
        <f t="shared" si="1"/>
        <v>5726564</v>
      </c>
      <c r="H64" s="260">
        <f t="shared" si="2"/>
        <v>13361982</v>
      </c>
      <c r="I64" s="260">
        <f>'성장 경험치 곡선'!F63</f>
        <v>10978</v>
      </c>
      <c r="J64" s="262">
        <f t="shared" si="3"/>
        <v>1217</v>
      </c>
    </row>
    <row r="65" spans="2:10">
      <c r="B65" s="211">
        <v>59</v>
      </c>
      <c r="C65" s="263">
        <f>'성장 경험치 곡선'!I64</f>
        <v>67663066.5</v>
      </c>
      <c r="E65" s="208">
        <v>59</v>
      </c>
      <c r="F65" s="277">
        <f t="shared" si="0"/>
        <v>20298920</v>
      </c>
      <c r="G65" s="260">
        <f t="shared" si="1"/>
        <v>6089676</v>
      </c>
      <c r="H65" s="260">
        <f t="shared" si="2"/>
        <v>14209244</v>
      </c>
      <c r="I65" s="260">
        <f>'성장 경험치 곡선'!F64</f>
        <v>11331</v>
      </c>
      <c r="J65" s="262">
        <f t="shared" si="3"/>
        <v>1254</v>
      </c>
    </row>
    <row r="66" spans="2:10">
      <c r="B66" s="216">
        <v>60</v>
      </c>
      <c r="C66" s="274">
        <f>'성장 경험치 곡선'!I65</f>
        <v>71887350</v>
      </c>
      <c r="E66" s="284">
        <v>60</v>
      </c>
      <c r="F66" s="285">
        <f t="shared" si="0"/>
        <v>21566205</v>
      </c>
      <c r="G66" s="285">
        <f t="shared" si="1"/>
        <v>6469862</v>
      </c>
      <c r="H66" s="285">
        <f t="shared" si="2"/>
        <v>15096344</v>
      </c>
      <c r="I66" s="285">
        <f>'성장 경험치 곡선'!F65</f>
        <v>11689</v>
      </c>
      <c r="J66" s="286">
        <f t="shared" si="3"/>
        <v>1292</v>
      </c>
    </row>
    <row r="67" spans="2:10">
      <c r="B67" s="211">
        <v>61</v>
      </c>
      <c r="C67" s="263">
        <f>'성장 경험치 곡선'!I66</f>
        <v>76307238</v>
      </c>
      <c r="E67" s="208">
        <v>61</v>
      </c>
      <c r="F67" s="277">
        <f t="shared" si="0"/>
        <v>22892171</v>
      </c>
      <c r="G67" s="260">
        <f t="shared" si="1"/>
        <v>6867651</v>
      </c>
      <c r="H67" s="260">
        <f t="shared" si="2"/>
        <v>16024520</v>
      </c>
      <c r="I67" s="260">
        <f>'성장 경험치 곡선'!F66</f>
        <v>12052</v>
      </c>
      <c r="J67" s="262">
        <f t="shared" si="3"/>
        <v>1330</v>
      </c>
    </row>
    <row r="68" spans="2:10">
      <c r="B68" s="211">
        <v>62</v>
      </c>
      <c r="C68" s="263">
        <f>'성장 경험치 곡선'!I67</f>
        <v>80928720</v>
      </c>
      <c r="E68" s="208">
        <v>62</v>
      </c>
      <c r="F68" s="277">
        <f t="shared" si="0"/>
        <v>24278616</v>
      </c>
      <c r="G68" s="260">
        <f t="shared" si="1"/>
        <v>7283585</v>
      </c>
      <c r="H68" s="260">
        <f t="shared" si="2"/>
        <v>16995031</v>
      </c>
      <c r="I68" s="260">
        <f>'성장 경험치 곡선'!F67</f>
        <v>12420</v>
      </c>
      <c r="J68" s="262">
        <f t="shared" si="3"/>
        <v>1368</v>
      </c>
    </row>
    <row r="69" spans="2:10">
      <c r="B69" s="211">
        <v>63</v>
      </c>
      <c r="C69" s="263">
        <f>'성장 경험치 곡선'!I68</f>
        <v>85757875.5</v>
      </c>
      <c r="E69" s="208">
        <v>63</v>
      </c>
      <c r="F69" s="277">
        <f t="shared" si="0"/>
        <v>25727363</v>
      </c>
      <c r="G69" s="260">
        <f t="shared" si="1"/>
        <v>7718209</v>
      </c>
      <c r="H69" s="260">
        <f t="shared" si="2"/>
        <v>18009154</v>
      </c>
      <c r="I69" s="260">
        <f>'성장 경험치 곡선'!F68</f>
        <v>12793</v>
      </c>
      <c r="J69" s="262">
        <f t="shared" si="3"/>
        <v>1408</v>
      </c>
    </row>
    <row r="70" spans="2:10">
      <c r="B70" s="211">
        <v>64</v>
      </c>
      <c r="C70" s="263">
        <f>'성장 경험치 곡선'!I69</f>
        <v>90800874</v>
      </c>
      <c r="E70" s="208">
        <v>64</v>
      </c>
      <c r="F70" s="277">
        <f t="shared" si="0"/>
        <v>27240262</v>
      </c>
      <c r="G70" s="260">
        <f t="shared" si="1"/>
        <v>8172079</v>
      </c>
      <c r="H70" s="260">
        <f t="shared" si="2"/>
        <v>19068183</v>
      </c>
      <c r="I70" s="260">
        <f>'성장 경험치 곡선'!F69</f>
        <v>13171</v>
      </c>
      <c r="J70" s="262">
        <f t="shared" si="3"/>
        <v>1448</v>
      </c>
    </row>
    <row r="71" spans="2:10">
      <c r="B71" s="211">
        <v>65</v>
      </c>
      <c r="C71" s="263">
        <f>'성장 경험치 곡선'!I70</f>
        <v>96063975</v>
      </c>
      <c r="E71" s="208">
        <v>65</v>
      </c>
      <c r="F71" s="277">
        <f t="shared" si="0"/>
        <v>28819193</v>
      </c>
      <c r="G71" s="260">
        <f t="shared" si="1"/>
        <v>8645758</v>
      </c>
      <c r="H71" s="260">
        <f t="shared" si="2"/>
        <v>20173435</v>
      </c>
      <c r="I71" s="260">
        <f>'성장 경험치 곡선'!F70</f>
        <v>13554</v>
      </c>
      <c r="J71" s="262">
        <f t="shared" si="3"/>
        <v>1488</v>
      </c>
    </row>
    <row r="72" spans="2:10">
      <c r="B72" s="211">
        <v>66</v>
      </c>
      <c r="C72" s="263">
        <f>'성장 경험치 곡선'!I71</f>
        <v>101560812</v>
      </c>
      <c r="E72" s="208">
        <v>66</v>
      </c>
      <c r="F72" s="277">
        <f t="shared" ref="F72:F96" si="4">ROUND(C72*$F$5,0)</f>
        <v>30468244</v>
      </c>
      <c r="G72" s="260">
        <f t="shared" ref="G72:G96" si="5">ROUND(F72*$G$5,0)</f>
        <v>9140473</v>
      </c>
      <c r="H72" s="260">
        <f t="shared" ref="H72:H96" si="6">ROUND(F72*$H$5,0)</f>
        <v>21327771</v>
      </c>
      <c r="I72" s="260">
        <f>'성장 경험치 곡선'!F71</f>
        <v>13943</v>
      </c>
      <c r="J72" s="262">
        <f t="shared" ref="J72:J96" si="7">ROUND(H72/I72,0)</f>
        <v>1530</v>
      </c>
    </row>
    <row r="73" spans="2:10">
      <c r="B73" s="211">
        <v>67</v>
      </c>
      <c r="C73" s="263">
        <f>'성장 경험치 곡선'!I72</f>
        <v>107283456</v>
      </c>
      <c r="E73" s="208">
        <v>67</v>
      </c>
      <c r="F73" s="277">
        <f t="shared" si="4"/>
        <v>32185037</v>
      </c>
      <c r="G73" s="260">
        <f t="shared" si="5"/>
        <v>9655511</v>
      </c>
      <c r="H73" s="260">
        <f t="shared" si="6"/>
        <v>22529526</v>
      </c>
      <c r="I73" s="260">
        <f>'성장 경험치 곡선'!F72</f>
        <v>14336</v>
      </c>
      <c r="J73" s="262">
        <f t="shared" si="7"/>
        <v>1572</v>
      </c>
    </row>
    <row r="74" spans="2:10">
      <c r="B74" s="211">
        <v>68</v>
      </c>
      <c r="C74" s="263">
        <f>'성장 경험치 곡선'!I73</f>
        <v>113245524</v>
      </c>
      <c r="E74" s="208">
        <v>68</v>
      </c>
      <c r="F74" s="277">
        <f t="shared" si="4"/>
        <v>33973657</v>
      </c>
      <c r="G74" s="260">
        <f t="shared" si="5"/>
        <v>10192097</v>
      </c>
      <c r="H74" s="260">
        <f t="shared" si="6"/>
        <v>23781560</v>
      </c>
      <c r="I74" s="260">
        <f>'성장 경험치 곡선'!F73</f>
        <v>14734</v>
      </c>
      <c r="J74" s="262">
        <f t="shared" si="7"/>
        <v>1614</v>
      </c>
    </row>
    <row r="75" spans="2:10">
      <c r="B75" s="211">
        <v>69</v>
      </c>
      <c r="C75" s="263">
        <f>'성장 경험치 곡선'!I74</f>
        <v>119461527</v>
      </c>
      <c r="E75" s="208">
        <v>69</v>
      </c>
      <c r="F75" s="277">
        <f t="shared" si="4"/>
        <v>35838458</v>
      </c>
      <c r="G75" s="260">
        <f t="shared" si="5"/>
        <v>10751537</v>
      </c>
      <c r="H75" s="260">
        <f t="shared" si="6"/>
        <v>25086921</v>
      </c>
      <c r="I75" s="260">
        <f>'성장 경험치 곡선'!F74</f>
        <v>15138</v>
      </c>
      <c r="J75" s="262">
        <f t="shared" si="7"/>
        <v>1657</v>
      </c>
    </row>
    <row r="76" spans="2:10">
      <c r="B76" s="216">
        <v>70</v>
      </c>
      <c r="C76" s="274">
        <f>'성장 경험치 곡선'!I75</f>
        <v>125922600</v>
      </c>
      <c r="E76" s="284">
        <v>70</v>
      </c>
      <c r="F76" s="285">
        <f t="shared" si="4"/>
        <v>37776780</v>
      </c>
      <c r="G76" s="285">
        <f t="shared" si="5"/>
        <v>11333034</v>
      </c>
      <c r="H76" s="285">
        <f t="shared" si="6"/>
        <v>26443746</v>
      </c>
      <c r="I76" s="285">
        <f>'성장 경험치 곡선'!F75</f>
        <v>15546</v>
      </c>
      <c r="J76" s="286">
        <f t="shared" si="7"/>
        <v>1701</v>
      </c>
    </row>
    <row r="77" spans="2:10">
      <c r="B77" s="211">
        <v>71</v>
      </c>
      <c r="C77" s="263">
        <f>'성장 경험치 곡선'!I76</f>
        <v>132643228.5</v>
      </c>
      <c r="E77" s="208">
        <v>71</v>
      </c>
      <c r="F77" s="277">
        <f t="shared" si="4"/>
        <v>39792969</v>
      </c>
      <c r="G77" s="260">
        <f t="shared" si="5"/>
        <v>11937891</v>
      </c>
      <c r="H77" s="260">
        <f t="shared" si="6"/>
        <v>27855078</v>
      </c>
      <c r="I77" s="260">
        <f>'성장 경험치 곡선'!F76</f>
        <v>15959</v>
      </c>
      <c r="J77" s="262">
        <f t="shared" si="7"/>
        <v>1745</v>
      </c>
    </row>
    <row r="78" spans="2:10">
      <c r="B78" s="211">
        <v>72</v>
      </c>
      <c r="C78" s="263">
        <f>'성장 경험치 곡선'!I77</f>
        <v>139638828</v>
      </c>
      <c r="E78" s="208">
        <v>72</v>
      </c>
      <c r="F78" s="277">
        <f t="shared" si="4"/>
        <v>41891648</v>
      </c>
      <c r="G78" s="260">
        <f t="shared" si="5"/>
        <v>12567494</v>
      </c>
      <c r="H78" s="260">
        <f t="shared" si="6"/>
        <v>29324154</v>
      </c>
      <c r="I78" s="260">
        <f>'성장 경험치 곡선'!F77</f>
        <v>16378</v>
      </c>
      <c r="J78" s="262">
        <f t="shared" si="7"/>
        <v>1790</v>
      </c>
    </row>
    <row r="79" spans="2:10">
      <c r="B79" s="211">
        <v>73</v>
      </c>
      <c r="C79" s="263">
        <f>'성장 경험치 곡선'!I78</f>
        <v>146899543.5</v>
      </c>
      <c r="E79" s="208">
        <v>73</v>
      </c>
      <c r="F79" s="277">
        <f t="shared" si="4"/>
        <v>44069863</v>
      </c>
      <c r="G79" s="260">
        <f t="shared" si="5"/>
        <v>13220959</v>
      </c>
      <c r="H79" s="260">
        <f t="shared" si="6"/>
        <v>30848904</v>
      </c>
      <c r="I79" s="260">
        <f>'성장 경험치 곡선'!F78</f>
        <v>16801</v>
      </c>
      <c r="J79" s="262">
        <f t="shared" si="7"/>
        <v>1836</v>
      </c>
    </row>
    <row r="80" spans="2:10">
      <c r="B80" s="211">
        <v>74</v>
      </c>
      <c r="C80" s="263">
        <f>'성장 경험치 곡선'!I79</f>
        <v>154440756</v>
      </c>
      <c r="E80" s="208">
        <v>74</v>
      </c>
      <c r="F80" s="277">
        <f t="shared" si="4"/>
        <v>46332227</v>
      </c>
      <c r="G80" s="260">
        <f t="shared" si="5"/>
        <v>13899668</v>
      </c>
      <c r="H80" s="260">
        <f t="shared" si="6"/>
        <v>32432559</v>
      </c>
      <c r="I80" s="260">
        <f>'성장 경험치 곡선'!F79</f>
        <v>17229</v>
      </c>
      <c r="J80" s="262">
        <f t="shared" si="7"/>
        <v>1882</v>
      </c>
    </row>
    <row r="81" spans="2:10">
      <c r="B81" s="211">
        <v>75</v>
      </c>
      <c r="C81" s="263">
        <f>'성장 경험치 곡선'!I80</f>
        <v>162269625</v>
      </c>
      <c r="E81" s="208">
        <v>75</v>
      </c>
      <c r="F81" s="277">
        <f t="shared" si="4"/>
        <v>48680888</v>
      </c>
      <c r="G81" s="260">
        <f t="shared" si="5"/>
        <v>14604266</v>
      </c>
      <c r="H81" s="260">
        <f t="shared" si="6"/>
        <v>34076622</v>
      </c>
      <c r="I81" s="260">
        <f>'성장 경험치 곡선'!F80</f>
        <v>17662</v>
      </c>
      <c r="J81" s="262">
        <f t="shared" si="7"/>
        <v>1929</v>
      </c>
    </row>
    <row r="82" spans="2:10">
      <c r="B82" s="211">
        <v>76</v>
      </c>
      <c r="C82" s="263">
        <f>'성장 경험치 곡선'!I81</f>
        <v>170393400</v>
      </c>
      <c r="E82" s="208">
        <v>76</v>
      </c>
      <c r="F82" s="277">
        <f t="shared" si="4"/>
        <v>51118020</v>
      </c>
      <c r="G82" s="260">
        <f t="shared" si="5"/>
        <v>15335406</v>
      </c>
      <c r="H82" s="260">
        <f t="shared" si="6"/>
        <v>35782614</v>
      </c>
      <c r="I82" s="260">
        <f>'성장 경험치 곡선'!F81</f>
        <v>18100</v>
      </c>
      <c r="J82" s="262">
        <f t="shared" si="7"/>
        <v>1977</v>
      </c>
    </row>
    <row r="83" spans="2:10">
      <c r="B83" s="211">
        <v>77</v>
      </c>
      <c r="C83" s="263">
        <f>'성장 경험치 곡선'!I82</f>
        <v>178819420.5</v>
      </c>
      <c r="E83" s="208">
        <v>77</v>
      </c>
      <c r="F83" s="277">
        <f t="shared" si="4"/>
        <v>53645826</v>
      </c>
      <c r="G83" s="260">
        <f t="shared" si="5"/>
        <v>16093748</v>
      </c>
      <c r="H83" s="260">
        <f t="shared" si="6"/>
        <v>37552078</v>
      </c>
      <c r="I83" s="260">
        <f>'성장 경험치 곡선'!F82</f>
        <v>18543</v>
      </c>
      <c r="J83" s="262">
        <f t="shared" si="7"/>
        <v>2025</v>
      </c>
    </row>
    <row r="84" spans="2:10">
      <c r="B84" s="211">
        <v>78</v>
      </c>
      <c r="C84" s="263">
        <f>'성장 경험치 곡선'!I83</f>
        <v>187555116</v>
      </c>
      <c r="E84" s="208">
        <v>78</v>
      </c>
      <c r="F84" s="277">
        <f t="shared" si="4"/>
        <v>56266535</v>
      </c>
      <c r="G84" s="260">
        <f t="shared" si="5"/>
        <v>16879961</v>
      </c>
      <c r="H84" s="260">
        <f t="shared" si="6"/>
        <v>39386575</v>
      </c>
      <c r="I84" s="260">
        <f>'성장 경험치 곡선'!F83</f>
        <v>18991</v>
      </c>
      <c r="J84" s="262">
        <f t="shared" si="7"/>
        <v>2074</v>
      </c>
    </row>
    <row r="85" spans="2:10">
      <c r="B85" s="211">
        <v>79</v>
      </c>
      <c r="C85" s="263">
        <f>'성장 경험치 곡선'!I84</f>
        <v>196608006</v>
      </c>
      <c r="E85" s="208">
        <v>79</v>
      </c>
      <c r="F85" s="277">
        <f t="shared" si="4"/>
        <v>58982402</v>
      </c>
      <c r="G85" s="260">
        <f t="shared" si="5"/>
        <v>17694721</v>
      </c>
      <c r="H85" s="260">
        <f t="shared" si="6"/>
        <v>41287681</v>
      </c>
      <c r="I85" s="260">
        <f>'성장 경험치 곡선'!F84</f>
        <v>19444</v>
      </c>
      <c r="J85" s="262">
        <f t="shared" si="7"/>
        <v>2123</v>
      </c>
    </row>
    <row r="86" spans="2:10">
      <c r="B86" s="216">
        <v>80</v>
      </c>
      <c r="C86" s="274">
        <f>'성장 경험치 곡선'!I85</f>
        <v>205985700</v>
      </c>
      <c r="E86" s="284">
        <v>80</v>
      </c>
      <c r="F86" s="285">
        <f t="shared" si="4"/>
        <v>61795710</v>
      </c>
      <c r="G86" s="285">
        <f t="shared" si="5"/>
        <v>18538713</v>
      </c>
      <c r="H86" s="285">
        <f t="shared" si="6"/>
        <v>43256997</v>
      </c>
      <c r="I86" s="285">
        <f>'성장 경험치 곡선'!F85</f>
        <v>19902</v>
      </c>
      <c r="J86" s="286">
        <f t="shared" si="7"/>
        <v>2174</v>
      </c>
    </row>
    <row r="87" spans="2:10">
      <c r="B87" s="211">
        <v>81</v>
      </c>
      <c r="C87" s="263">
        <f>'성장 경험치 곡선'!I86</f>
        <v>215695897.5</v>
      </c>
      <c r="E87" s="208">
        <v>81</v>
      </c>
      <c r="F87" s="277">
        <f t="shared" si="4"/>
        <v>64708769</v>
      </c>
      <c r="G87" s="260">
        <f t="shared" si="5"/>
        <v>19412631</v>
      </c>
      <c r="H87" s="260">
        <f t="shared" si="6"/>
        <v>45296138</v>
      </c>
      <c r="I87" s="260">
        <f>'성장 경험치 곡선'!F86</f>
        <v>20365</v>
      </c>
      <c r="J87" s="262">
        <f t="shared" si="7"/>
        <v>2224</v>
      </c>
    </row>
    <row r="88" spans="2:10">
      <c r="B88" s="211">
        <v>82</v>
      </c>
      <c r="C88" s="263">
        <f>'성장 경험치 곡선'!I87</f>
        <v>225735552</v>
      </c>
      <c r="E88" s="208">
        <v>82</v>
      </c>
      <c r="F88" s="277">
        <f t="shared" si="4"/>
        <v>67720666</v>
      </c>
      <c r="G88" s="260">
        <f t="shared" si="5"/>
        <v>20316200</v>
      </c>
      <c r="H88" s="260">
        <f t="shared" si="6"/>
        <v>47404466</v>
      </c>
      <c r="I88" s="260">
        <f>'성장 경험치 곡선'!F87</f>
        <v>20832</v>
      </c>
      <c r="J88" s="262">
        <f t="shared" si="7"/>
        <v>2276</v>
      </c>
    </row>
    <row r="89" spans="2:10">
      <c r="B89" s="211">
        <v>83</v>
      </c>
      <c r="C89" s="263">
        <f>'성장 경험치 곡선'!I88</f>
        <v>236122884</v>
      </c>
      <c r="E89" s="208">
        <v>83</v>
      </c>
      <c r="F89" s="277">
        <f t="shared" si="4"/>
        <v>70836865</v>
      </c>
      <c r="G89" s="260">
        <f t="shared" si="5"/>
        <v>21251060</v>
      </c>
      <c r="H89" s="260">
        <f t="shared" si="6"/>
        <v>49585806</v>
      </c>
      <c r="I89" s="260">
        <f>'성장 경험치 곡선'!F88</f>
        <v>21304</v>
      </c>
      <c r="J89" s="262">
        <f t="shared" si="7"/>
        <v>2328</v>
      </c>
    </row>
    <row r="90" spans="2:10">
      <c r="B90" s="211">
        <v>84</v>
      </c>
      <c r="C90" s="263">
        <f>'성장 경험치 곡선'!I89</f>
        <v>246877188</v>
      </c>
      <c r="E90" s="208">
        <v>84</v>
      </c>
      <c r="F90" s="277">
        <f t="shared" si="4"/>
        <v>74063156</v>
      </c>
      <c r="G90" s="260">
        <f t="shared" si="5"/>
        <v>22218947</v>
      </c>
      <c r="H90" s="260">
        <f t="shared" si="6"/>
        <v>51844209</v>
      </c>
      <c r="I90" s="260">
        <f>'성장 경험치 곡선'!F89</f>
        <v>21782</v>
      </c>
      <c r="J90" s="262">
        <f t="shared" si="7"/>
        <v>2380</v>
      </c>
    </row>
    <row r="91" spans="2:10">
      <c r="B91" s="211">
        <v>85</v>
      </c>
      <c r="C91" s="263">
        <f>'성장 경험치 곡선'!I90</f>
        <v>257984100</v>
      </c>
      <c r="E91" s="208">
        <v>85</v>
      </c>
      <c r="F91" s="277">
        <f t="shared" si="4"/>
        <v>77395230</v>
      </c>
      <c r="G91" s="260">
        <f t="shared" si="5"/>
        <v>23218569</v>
      </c>
      <c r="H91" s="260">
        <f t="shared" si="6"/>
        <v>54176661</v>
      </c>
      <c r="I91" s="260">
        <f>'성장 경험치 곡선'!F90</f>
        <v>22264</v>
      </c>
      <c r="J91" s="262">
        <f t="shared" si="7"/>
        <v>2433</v>
      </c>
    </row>
    <row r="92" spans="2:10">
      <c r="B92" s="211">
        <v>86</v>
      </c>
      <c r="C92" s="263">
        <f>'성장 경험치 곡선'!I91</f>
        <v>269462844</v>
      </c>
      <c r="E92" s="208">
        <v>86</v>
      </c>
      <c r="F92" s="277">
        <f t="shared" si="4"/>
        <v>80838853</v>
      </c>
      <c r="G92" s="260">
        <f t="shared" si="5"/>
        <v>24251656</v>
      </c>
      <c r="H92" s="260">
        <f t="shared" si="6"/>
        <v>56587197</v>
      </c>
      <c r="I92" s="260">
        <f>'성장 경험치 곡선'!F91</f>
        <v>22751</v>
      </c>
      <c r="J92" s="262">
        <f t="shared" si="7"/>
        <v>2487</v>
      </c>
    </row>
    <row r="93" spans="2:10">
      <c r="B93" s="211">
        <v>87</v>
      </c>
      <c r="C93" s="263">
        <f>'성장 경험치 곡선'!I92</f>
        <v>281321650.5</v>
      </c>
      <c r="E93" s="208">
        <v>87</v>
      </c>
      <c r="F93" s="277">
        <f t="shared" si="4"/>
        <v>84396495</v>
      </c>
      <c r="G93" s="260">
        <f t="shared" si="5"/>
        <v>25318949</v>
      </c>
      <c r="H93" s="260">
        <f t="shared" si="6"/>
        <v>59077547</v>
      </c>
      <c r="I93" s="260">
        <f>'성장 경험치 곡선'!F92</f>
        <v>23243</v>
      </c>
      <c r="J93" s="262">
        <f t="shared" si="7"/>
        <v>2542</v>
      </c>
    </row>
    <row r="94" spans="2:10">
      <c r="B94" s="211">
        <v>88</v>
      </c>
      <c r="C94" s="263">
        <f>'성장 경험치 곡선'!I93</f>
        <v>293556474</v>
      </c>
      <c r="E94" s="208">
        <v>88</v>
      </c>
      <c r="F94" s="277">
        <f t="shared" si="4"/>
        <v>88066942</v>
      </c>
      <c r="G94" s="260">
        <f t="shared" si="5"/>
        <v>26420083</v>
      </c>
      <c r="H94" s="260">
        <f t="shared" si="6"/>
        <v>61646859</v>
      </c>
      <c r="I94" s="260">
        <f>'성장 경험치 곡선'!F93</f>
        <v>23739</v>
      </c>
      <c r="J94" s="262">
        <f t="shared" si="7"/>
        <v>2597</v>
      </c>
    </row>
    <row r="95" spans="2:10">
      <c r="B95" s="211">
        <v>89</v>
      </c>
      <c r="C95" s="263">
        <f>'성장 경험치 곡선'!I94</f>
        <v>306200191.5</v>
      </c>
      <c r="E95" s="208">
        <v>89</v>
      </c>
      <c r="F95" s="277">
        <f t="shared" si="4"/>
        <v>91860057</v>
      </c>
      <c r="G95" s="260">
        <f t="shared" si="5"/>
        <v>27558017</v>
      </c>
      <c r="H95" s="260">
        <f t="shared" si="6"/>
        <v>64302040</v>
      </c>
      <c r="I95" s="260">
        <f>'성장 경험치 곡선'!F94</f>
        <v>24241</v>
      </c>
      <c r="J95" s="262">
        <f t="shared" si="7"/>
        <v>2653</v>
      </c>
    </row>
    <row r="96" spans="2:10" ht="17.25" thickBot="1">
      <c r="B96" s="239">
        <v>90</v>
      </c>
      <c r="C96" s="275">
        <f>'성장 경험치 곡선'!I95</f>
        <v>319236300</v>
      </c>
      <c r="E96" s="281">
        <v>90</v>
      </c>
      <c r="F96" s="282">
        <f t="shared" si="4"/>
        <v>95770890</v>
      </c>
      <c r="G96" s="282">
        <f t="shared" si="5"/>
        <v>28731267</v>
      </c>
      <c r="H96" s="282">
        <f t="shared" si="6"/>
        <v>67039623</v>
      </c>
      <c r="I96" s="282">
        <f>'성장 경험치 곡선'!F95</f>
        <v>24747</v>
      </c>
      <c r="J96" s="283">
        <f t="shared" si="7"/>
        <v>2709</v>
      </c>
    </row>
    <row r="97" spans="5:8" ht="17.25" thickBot="1">
      <c r="E97" s="278" t="s">
        <v>121</v>
      </c>
      <c r="F97" s="279">
        <f>SUM(F7:F96)</f>
        <v>1897976993</v>
      </c>
      <c r="G97" s="280">
        <f>SUM(G7:G96)</f>
        <v>569393104</v>
      </c>
      <c r="H97" s="280">
        <f>SUM(H7:H96)</f>
        <v>1328583897</v>
      </c>
    </row>
  </sheetData>
  <mergeCells count="13">
    <mergeCell ref="U6:AA6"/>
    <mergeCell ref="U7:AA7"/>
    <mergeCell ref="U8:AA8"/>
    <mergeCell ref="U11:AA11"/>
    <mergeCell ref="B2:J2"/>
    <mergeCell ref="B3:H3"/>
    <mergeCell ref="I3:J3"/>
    <mergeCell ref="U21:AA22"/>
    <mergeCell ref="U18:AA19"/>
    <mergeCell ref="U23:AA23"/>
    <mergeCell ref="U9:AA10"/>
    <mergeCell ref="U12:AA13"/>
    <mergeCell ref="U15:AA16"/>
  </mergeCells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R12"/>
  <sheetViews>
    <sheetView workbookViewId="0">
      <selection activeCell="U19" sqref="U19"/>
    </sheetView>
  </sheetViews>
  <sheetFormatPr defaultRowHeight="16.5"/>
  <cols>
    <col min="1" max="1" width="1.625" customWidth="1"/>
  </cols>
  <sheetData>
    <row r="1" spans="2:18" ht="17.25" thickBot="1"/>
    <row r="2" spans="2:18" ht="17.25" thickBot="1">
      <c r="B2" s="463" t="s">
        <v>134</v>
      </c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  <c r="R2" s="465"/>
    </row>
    <row r="3" spans="2:18">
      <c r="B3" s="436" t="s">
        <v>137</v>
      </c>
      <c r="C3" s="437"/>
      <c r="D3" s="438"/>
      <c r="E3" s="436" t="s">
        <v>135</v>
      </c>
      <c r="F3" s="437"/>
      <c r="G3" s="438"/>
      <c r="H3" s="436" t="s">
        <v>136</v>
      </c>
      <c r="I3" s="437"/>
      <c r="J3" s="437"/>
      <c r="K3" s="437"/>
      <c r="L3" s="437"/>
      <c r="M3" s="437"/>
      <c r="N3" s="437"/>
      <c r="O3" s="437"/>
      <c r="P3" s="437"/>
      <c r="Q3" s="437"/>
      <c r="R3" s="438"/>
    </row>
    <row r="4" spans="2:18" ht="17.25" thickBot="1">
      <c r="B4" s="439"/>
      <c r="C4" s="440"/>
      <c r="D4" s="441"/>
      <c r="E4" s="439"/>
      <c r="F4" s="440"/>
      <c r="G4" s="441"/>
      <c r="H4" s="439"/>
      <c r="I4" s="440"/>
      <c r="J4" s="440"/>
      <c r="K4" s="440"/>
      <c r="L4" s="440"/>
      <c r="M4" s="440"/>
      <c r="N4" s="440"/>
      <c r="O4" s="440"/>
      <c r="P4" s="440"/>
      <c r="Q4" s="440"/>
      <c r="R4" s="441"/>
    </row>
    <row r="5" spans="2:18">
      <c r="B5" s="466" t="s">
        <v>138</v>
      </c>
      <c r="C5" s="467"/>
      <c r="D5" s="468"/>
      <c r="E5" s="442" t="s">
        <v>141</v>
      </c>
      <c r="F5" s="443"/>
      <c r="G5" s="444"/>
      <c r="H5" s="442" t="s">
        <v>142</v>
      </c>
      <c r="I5" s="443"/>
      <c r="J5" s="443"/>
      <c r="K5" s="443"/>
      <c r="L5" s="443"/>
      <c r="M5" s="443"/>
      <c r="N5" s="443"/>
      <c r="O5" s="443"/>
      <c r="P5" s="443"/>
      <c r="Q5" s="443"/>
      <c r="R5" s="444"/>
    </row>
    <row r="6" spans="2:18" ht="17.25" thickBot="1">
      <c r="B6" s="469"/>
      <c r="C6" s="470"/>
      <c r="D6" s="471"/>
      <c r="E6" s="445"/>
      <c r="F6" s="446"/>
      <c r="G6" s="447"/>
      <c r="H6" s="445"/>
      <c r="I6" s="446"/>
      <c r="J6" s="446"/>
      <c r="K6" s="446"/>
      <c r="L6" s="446"/>
      <c r="M6" s="446"/>
      <c r="N6" s="446"/>
      <c r="O6" s="446"/>
      <c r="P6" s="446"/>
      <c r="Q6" s="446"/>
      <c r="R6" s="447"/>
    </row>
    <row r="7" spans="2:18">
      <c r="B7" s="457" t="s">
        <v>139</v>
      </c>
      <c r="C7" s="458"/>
      <c r="D7" s="459"/>
      <c r="E7" s="448" t="s">
        <v>143</v>
      </c>
      <c r="F7" s="449"/>
      <c r="G7" s="450"/>
      <c r="H7" s="454" t="s">
        <v>144</v>
      </c>
      <c r="I7" s="455"/>
      <c r="J7" s="455"/>
      <c r="K7" s="455"/>
      <c r="L7" s="455"/>
      <c r="M7" s="455"/>
      <c r="N7" s="455"/>
      <c r="O7" s="455"/>
      <c r="P7" s="455"/>
      <c r="Q7" s="455"/>
      <c r="R7" s="456"/>
    </row>
    <row r="8" spans="2:18" ht="17.25" thickBot="1">
      <c r="B8" s="460"/>
      <c r="C8" s="461"/>
      <c r="D8" s="462"/>
      <c r="E8" s="451"/>
      <c r="F8" s="452"/>
      <c r="G8" s="453"/>
      <c r="H8" s="451"/>
      <c r="I8" s="452"/>
      <c r="J8" s="452"/>
      <c r="K8" s="452"/>
      <c r="L8" s="452"/>
      <c r="M8" s="452"/>
      <c r="N8" s="452"/>
      <c r="O8" s="452"/>
      <c r="P8" s="452"/>
      <c r="Q8" s="452"/>
      <c r="R8" s="453"/>
    </row>
    <row r="9" spans="2:18">
      <c r="B9" s="454" t="s">
        <v>140</v>
      </c>
      <c r="C9" s="455"/>
      <c r="D9" s="456"/>
      <c r="E9" s="454" t="s">
        <v>145</v>
      </c>
      <c r="F9" s="455"/>
      <c r="G9" s="456"/>
      <c r="H9" s="454" t="s">
        <v>146</v>
      </c>
      <c r="I9" s="455"/>
      <c r="J9" s="455"/>
      <c r="K9" s="455"/>
      <c r="L9" s="455"/>
      <c r="M9" s="455"/>
      <c r="N9" s="455"/>
      <c r="O9" s="455"/>
      <c r="P9" s="455"/>
      <c r="Q9" s="455"/>
      <c r="R9" s="456"/>
    </row>
    <row r="10" spans="2:18" ht="17.25" thickBot="1">
      <c r="B10" s="451"/>
      <c r="C10" s="452"/>
      <c r="D10" s="453"/>
      <c r="E10" s="451"/>
      <c r="F10" s="452"/>
      <c r="G10" s="453"/>
      <c r="H10" s="451"/>
      <c r="I10" s="452"/>
      <c r="J10" s="452"/>
      <c r="K10" s="452"/>
      <c r="L10" s="452"/>
      <c r="M10" s="452"/>
      <c r="N10" s="452"/>
      <c r="O10" s="452"/>
      <c r="P10" s="452"/>
      <c r="Q10" s="452"/>
      <c r="R10" s="453"/>
    </row>
    <row r="11" spans="2:18">
      <c r="B11" s="454" t="s">
        <v>166</v>
      </c>
      <c r="C11" s="455"/>
      <c r="D11" s="456"/>
      <c r="E11" s="454" t="s">
        <v>167</v>
      </c>
      <c r="F11" s="455"/>
      <c r="G11" s="456"/>
      <c r="H11" s="454" t="s">
        <v>168</v>
      </c>
      <c r="I11" s="455"/>
      <c r="J11" s="455"/>
      <c r="K11" s="455"/>
      <c r="L11" s="455"/>
      <c r="M11" s="455"/>
      <c r="N11" s="455"/>
      <c r="O11" s="455"/>
      <c r="P11" s="455"/>
      <c r="Q11" s="455"/>
      <c r="R11" s="456"/>
    </row>
    <row r="12" spans="2:18" ht="17.25" thickBot="1">
      <c r="B12" s="451"/>
      <c r="C12" s="452"/>
      <c r="D12" s="453"/>
      <c r="E12" s="451"/>
      <c r="F12" s="452"/>
      <c r="G12" s="453"/>
      <c r="H12" s="451"/>
      <c r="I12" s="452"/>
      <c r="J12" s="452"/>
      <c r="K12" s="452"/>
      <c r="L12" s="452"/>
      <c r="M12" s="452"/>
      <c r="N12" s="452"/>
      <c r="O12" s="452"/>
      <c r="P12" s="452"/>
      <c r="Q12" s="452"/>
      <c r="R12" s="453"/>
    </row>
  </sheetData>
  <mergeCells count="16">
    <mergeCell ref="B11:D12"/>
    <mergeCell ref="E11:G12"/>
    <mergeCell ref="H11:R12"/>
    <mergeCell ref="B7:D8"/>
    <mergeCell ref="B9:D10"/>
    <mergeCell ref="H7:R8"/>
    <mergeCell ref="H9:R10"/>
    <mergeCell ref="B2:R2"/>
    <mergeCell ref="B3:D4"/>
    <mergeCell ref="B5:D6"/>
    <mergeCell ref="E3:G4"/>
    <mergeCell ref="E5:G6"/>
    <mergeCell ref="E7:G8"/>
    <mergeCell ref="E9:G10"/>
    <mergeCell ref="H3:R4"/>
    <mergeCell ref="H5:R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PVP 시뮬레이션</vt:lpstr>
      <vt:lpstr>성장 곡선</vt:lpstr>
      <vt:lpstr>성장 경험치 곡선</vt:lpstr>
      <vt:lpstr>레벨에 따른 획득 재화</vt:lpstr>
      <vt:lpstr>버전관리</vt:lpstr>
      <vt:lpstr>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2015-05-06T13:10:19Z</dcterms:created>
  <dcterms:modified xsi:type="dcterms:W3CDTF">2015-06-27T13:21:52Z</dcterms:modified>
</cp:coreProperties>
</file>